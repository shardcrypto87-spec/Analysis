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m_Entity" sheetId="2" state="visible" r:id="rId2"/>
    <sheet name="Dim_Calendar" sheetId="3" state="visible" r:id="rId3"/>
    <sheet name="Fact_TrialBalance" sheetId="4" state="visible" r:id="rId4"/>
    <sheet name="Entity Register" sheetId="5" state="visible" r:id="rId5"/>
    <sheet name="Group Summary" sheetId="6" state="visible" r:id="rId6"/>
    <sheet name="Notes &amp; Valid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FFFFFF"/>
      <sz val="20"/>
    </font>
    <font>
      <name val="Calibri"/>
      <i val="1"/>
      <color rgb="00D9E2EC"/>
      <sz val="11"/>
    </font>
    <font>
      <name val="Calibri"/>
      <b val="1"/>
      <color rgb="006B7280"/>
      <sz val="10"/>
    </font>
    <font>
      <b val="1"/>
      <color rgb="001F3864"/>
      <sz val="12"/>
    </font>
    <font>
      <color rgb="006B7280"/>
      <sz val="8"/>
    </font>
    <font>
      <name val="Calibri"/>
      <b val="1"/>
      <color rgb="00FFFFFF"/>
      <sz val="10"/>
    </font>
    <font>
      <name val="Calibri"/>
      <b val="1"/>
      <color rgb="001F3864"/>
      <sz val="18"/>
    </font>
    <font>
      <name val="Calibri"/>
      <b val="1"/>
      <color rgb="00FFFFFF"/>
      <sz val="13"/>
    </font>
    <font>
      <i val="1"/>
      <color rgb="006B7280"/>
      <sz val="9"/>
    </font>
    <font>
      <b val="1"/>
      <color rgb="001F3864"/>
      <sz val="14"/>
    </font>
    <font>
      <color rgb="001A1A1A"/>
      <sz val="10"/>
    </font>
    <font>
      <color rgb="000E7C7B"/>
      <sz val="10"/>
    </font>
    <font>
      <b val="1"/>
      <color rgb="00B3261E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9A227"/>
      </patternFill>
    </fill>
    <fill>
      <patternFill patternType="solid">
        <fgColor rgb="00FFFFFF"/>
      </patternFill>
    </fill>
    <fill>
      <patternFill patternType="solid">
        <fgColor rgb="000E7C7B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2" borderId="0" pivotButton="0" quotePrefix="0" xfId="0"/>
    <xf numFmtId="0" fontId="1" fillId="5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0" fillId="0" borderId="0" pivotButton="0" quotePrefix="0" xfId="0"/>
    <xf numFmtId="1" fontId="8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Category Breakdown — Selected Entity &amp; Year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'Dashboard'!C20</f>
            </strRef>
          </tx>
          <spPr>
            <a:ln>
              <a:prstDash val="solid"/>
            </a:ln>
          </spPr>
          <cat>
            <numRef>
              <f>'Dashboard'!$B$21:$B$33</f>
            </numRef>
          </cat>
          <val>
            <numRef>
              <f>'Dashboard'!$C$21:$C$33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Revenue vs Net Income by Entity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'Group Summary'!C16</f>
            </strRef>
          </tx>
          <spPr>
            <a:ln>
              <a:prstDash val="solid"/>
            </a:ln>
          </spPr>
          <cat>
            <numRef>
              <f>'Group Summary'!$B$17:$B$31</f>
            </numRef>
          </cat>
          <val>
            <numRef>
              <f>'Group Summary'!$C$17:$C$31</f>
            </numRef>
          </val>
        </ser>
        <ser>
          <idx val="1"/>
          <order val="1"/>
          <tx>
            <strRef>
              <f>'Group Summary'!D16</f>
            </strRef>
          </tx>
          <spPr>
            <a:ln>
              <a:prstDash val="solid"/>
            </a:ln>
          </spPr>
          <cat>
            <numRef>
              <f>'Group Summary'!$B$17:$B$31</f>
            </numRef>
          </cat>
          <val>
            <numRef>
              <f>'Group Summary'!$D$17:$D$31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19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14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im_Entity" displayName="Dim_Entity" ref="A1:C16" headerRowCount="1">
  <autoFilter ref="A1:C16"/>
  <tableColumns count="3">
    <tableColumn id="1" name="EntityId"/>
    <tableColumn id="2" name="EntityName"/>
    <tableColumn id="3" name="Segment"/>
  </tableColumns>
  <tableStyleInfo name="TableStyleMedium2" showRowStripes="1"/>
</table>
</file>

<file path=xl/tables/table2.xml><?xml version="1.0" encoding="utf-8"?>
<table xmlns="http://schemas.openxmlformats.org/spreadsheetml/2006/main" id="2" name="Dim_Calendar" displayName="Dim_Calendar" ref="A1:C3" headerRowCount="1">
  <autoFilter ref="A1:C3"/>
  <tableColumns count="3">
    <tableColumn id="1" name="FiscalYear"/>
    <tableColumn id="2" name="YearEnd"/>
    <tableColumn id="3" name="YearLabel"/>
  </tableColumns>
  <tableStyleInfo name="TableStyleMedium2" showRowStripes="1"/>
</table>
</file>

<file path=xl/tables/table3.xml><?xml version="1.0" encoding="utf-8"?>
<table xmlns="http://schemas.openxmlformats.org/spreadsheetml/2006/main" id="3" name="Fact_TrialBalance" displayName="Fact_TrialBalance" ref="A1:D256" headerRowCount="1">
  <autoFilter ref="A1:D256"/>
  <tableColumns count="4">
    <tableColumn id="1" name="EntityId"/>
    <tableColumn id="2" name="Category"/>
    <tableColumn id="3" name="FiscalYear"/>
    <tableColumn id="4" name="Amount"/>
  </tableColumns>
  <tableStyleInfo name="TableStyleMedium2" showRowStripes="1"/>
</table>
</file>

<file path=xl/tables/table4.xml><?xml version="1.0" encoding="utf-8"?>
<table xmlns="http://schemas.openxmlformats.org/spreadsheetml/2006/main" id="4" name="EntityRegister" displayName="EntityRegister" ref="A4:K19" headerRowCount="1">
  <autoFilter ref="A4:K19"/>
  <tableColumns count="11">
    <tableColumn id="1" name="EntityName"/>
    <tableColumn id="2" name="Segment"/>
    <tableColumn id="3" name="Revenue"/>
    <tableColumn id="4" name="COGS"/>
    <tableColumn id="5" name="Payroll"/>
    <tableColumn id="6" name="Occupancy"/>
    <tableColumn id="7" name="Interest &amp; Financing"/>
    <tableColumn id="8" name="Amortization"/>
    <tableColumn id="9" name="Income Tax"/>
    <tableColumn id="10" name="EBITDA"/>
    <tableColumn id="11" name="Net Income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2" ht="22" customHeight="1">
      <c r="B2" s="1" t="inlineStr">
        <is>
          <t>SANDHU GROUP — Financial Dashboard</t>
        </is>
      </c>
      <c r="C2" s="2" t="n"/>
      <c r="D2" s="2" t="n"/>
      <c r="E2" s="2" t="n"/>
      <c r="F2" s="2" t="n"/>
      <c r="G2" s="2" t="n"/>
      <c r="H2" s="2" t="n"/>
      <c r="I2" s="2" t="n"/>
      <c r="J2" s="2" t="n"/>
    </row>
    <row r="3" ht="1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18" customHeight="1">
      <c r="B4" s="3" t="inlineStr">
        <is>
          <t>CaseWare WTB + GIFI categorization  •  Fiscal year end March 31  •  Figures in CAD</t>
        </is>
      </c>
    </row>
    <row r="6">
      <c r="B6" s="4" t="inlineStr">
        <is>
          <t>Select Entity</t>
        </is>
      </c>
      <c r="C6" s="5" t="inlineStr">
        <is>
          <t>9455-8236 Québec Inc.</t>
        </is>
      </c>
      <c r="G6" s="4" t="inlineStr">
        <is>
          <t>Select Fiscal Year</t>
        </is>
      </c>
      <c r="H6" s="5" t="inlineStr">
        <is>
          <t>FY2025</t>
        </is>
      </c>
    </row>
    <row r="8">
      <c r="B8" s="6" t="inlineStr">
        <is>
          <t>EntityId -&gt;</t>
        </is>
      </c>
      <c r="C8" s="6">
        <f>INDEX(Dim_Entity!$A$2:$A$16,MATCH($C$6,Dim_Entity!$B$2:$B$16,0))</f>
        <v/>
      </c>
    </row>
    <row r="10" ht="16" customHeight="1">
      <c r="B10" s="7" t="inlineStr">
        <is>
          <t>REVENUE</t>
        </is>
      </c>
      <c r="C10" s="8" t="n"/>
      <c r="D10" s="7" t="inlineStr">
        <is>
          <t>EBITDA</t>
        </is>
      </c>
      <c r="E10" s="8" t="n"/>
      <c r="G10" s="7" t="inlineStr">
        <is>
          <t>NET INCOME</t>
        </is>
      </c>
      <c r="H10" s="8" t="n"/>
      <c r="I10" s="7" t="inlineStr">
        <is>
          <t>INCOME TAX</t>
        </is>
      </c>
      <c r="J10" s="8" t="n"/>
    </row>
    <row r="11">
      <c r="B11" s="9">
        <f>-(SUMIFS(Fact_TrialBalance[Amount],Fact_TrialBalance[EntityId],$C$8,Fact_TrialBalance[Category],"Operating Revenue",Fact_TrialBalance[FiscalYear],$H$6))</f>
        <v/>
      </c>
      <c r="C11" s="8" t="n"/>
      <c r="D11" s="9">
        <f>-(SUMIFS(Fact_TrialBalance[Amount],Fact_TrialBalance[EntityId],$C$8,Fact_TrialBalance[FiscalYear],$H$6)-SUMPRODUCT((Fact_TrialBalance[EntityId]=$C$8)*(Fact_TrialBalance[FiscalYear]=$H$6)*(ISNUMBER(MATCH(Fact_TrialBalance[Category],{"Interest &amp; Financing","Amortization","Income Tax"},0)))*Fact_TrialBalance[Amount]))</f>
        <v/>
      </c>
      <c r="E11" s="8" t="n"/>
      <c r="G11" s="9">
        <f>-(SUMIFS(Fact_TrialBalance[Amount],Fact_TrialBalance[EntityId],$C$8,Fact_TrialBalance[FiscalYear],$H$6))</f>
        <v/>
      </c>
      <c r="H11" s="8" t="n"/>
      <c r="I11" s="9">
        <f>SUMIFS(Fact_TrialBalance[Amount],Fact_TrialBalance[EntityId],$C$8,Fact_TrialBalance[Category],"Income Tax",Fact_TrialBalance[FiscalYear],$H$6)</f>
        <v/>
      </c>
      <c r="J11" s="8" t="n"/>
    </row>
    <row r="12">
      <c r="B12" s="8" t="n"/>
      <c r="C12" s="8" t="n"/>
      <c r="D12" s="8" t="n"/>
      <c r="E12" s="8" t="n"/>
      <c r="G12" s="8" t="n"/>
      <c r="H12" s="8" t="n"/>
      <c r="I12" s="8" t="n"/>
      <c r="J12" s="8" t="n"/>
    </row>
    <row r="14">
      <c r="B14" s="10" t="inlineStr">
        <is>
          <t>EBITDA MARGIN</t>
        </is>
      </c>
      <c r="C14" s="8" t="n"/>
      <c r="D14" s="10" t="inlineStr">
        <is>
          <t>EFFECTIVE TAX RATE</t>
        </is>
      </c>
      <c r="E14" s="8" t="n"/>
      <c r="G14" s="10" t="inlineStr">
        <is>
          <t>% OF GROUP REVENUE</t>
        </is>
      </c>
      <c r="H14" s="8" t="n"/>
      <c r="I14" s="10" t="inlineStr">
        <is>
          <t>COGS</t>
        </is>
      </c>
      <c r="J14" s="8" t="n"/>
    </row>
    <row r="15">
      <c r="B15" s="11">
        <f>IFERROR(D11/B11,0)</f>
        <v/>
      </c>
      <c r="C15" s="8" t="n"/>
      <c r="D15" s="11">
        <f>IFERROR(I11/(G11+I11),0)</f>
        <v/>
      </c>
      <c r="E15" s="8" t="n"/>
      <c r="G15" s="11">
        <f>IFERROR(B11/(-SUMIFS(Fact_TrialBalance[Amount],Fact_TrialBalance[Category],"Operating Revenue",Fact_TrialBalance[FiscalYear],$H$6)),0)</f>
        <v/>
      </c>
      <c r="H15" s="8" t="n"/>
      <c r="I15" s="9">
        <f>SUMIFS(Fact_TrialBalance[Amount],Fact_TrialBalance[EntityId],$C$8,Fact_TrialBalance[Category],"COGS",Fact_TrialBalance[FiscalYear],$H$6)</f>
        <v/>
      </c>
      <c r="J15" s="8" t="n"/>
    </row>
    <row r="16">
      <c r="B16" s="8" t="n"/>
      <c r="C16" s="8" t="n"/>
      <c r="D16" s="8" t="n"/>
      <c r="E16" s="8" t="n"/>
      <c r="G16" s="8" t="n"/>
      <c r="H16" s="8" t="n"/>
      <c r="I16" s="8" t="n"/>
      <c r="J16" s="8" t="n"/>
    </row>
    <row r="19">
      <c r="B19" s="12" t="inlineStr">
        <is>
          <t>Category Breakdown</t>
        </is>
      </c>
      <c r="C19" s="2" t="n"/>
      <c r="D19" s="2" t="n"/>
      <c r="E19" s="2" t="n"/>
    </row>
    <row r="20">
      <c r="B20" s="13" t="inlineStr">
        <is>
          <t>Category</t>
        </is>
      </c>
      <c r="C20" s="13" t="inlineStr">
        <is>
          <t>Amount</t>
        </is>
      </c>
    </row>
    <row r="21">
      <c r="B21" t="inlineStr">
        <is>
          <t>Operating Revenue</t>
        </is>
      </c>
      <c r="C21" s="14">
        <f>-(SUMIFS(Fact_TrialBalance[Amount],Fact_TrialBalance[EntityId],$C$8,Fact_TrialBalance[Category],"Operating Revenue",Fact_TrialBalance[FiscalYear],$H$6))</f>
        <v/>
      </c>
    </row>
    <row r="22">
      <c r="B22" t="inlineStr">
        <is>
          <t>Investment &amp; Other Income</t>
        </is>
      </c>
      <c r="C22" s="14">
        <f>-(SUMIFS(Fact_TrialBalance[Amount],Fact_TrialBalance[EntityId],$C$8,Fact_TrialBalance[Category],"Investment &amp; Other Income",Fact_TrialBalance[FiscalYear],$H$6))</f>
        <v/>
      </c>
    </row>
    <row r="23">
      <c r="B23" t="inlineStr">
        <is>
          <t>COGS</t>
        </is>
      </c>
      <c r="C23" s="14">
        <f>SUMIFS(Fact_TrialBalance[Amount],Fact_TrialBalance[EntityId],$C$8,Fact_TrialBalance[Category],"COGS",Fact_TrialBalance[FiscalYear],$H$6)</f>
        <v/>
      </c>
    </row>
    <row r="24">
      <c r="B24" t="inlineStr">
        <is>
          <t>Payroll &amp; Benefits</t>
        </is>
      </c>
      <c r="C24" s="14">
        <f>SUMIFS(Fact_TrialBalance[Amount],Fact_TrialBalance[EntityId],$C$8,Fact_TrialBalance[Category],"Payroll &amp; Benefits",Fact_TrialBalance[FiscalYear],$H$6)</f>
        <v/>
      </c>
    </row>
    <row r="25">
      <c r="B25" t="inlineStr">
        <is>
          <t>Occupancy</t>
        </is>
      </c>
      <c r="C25" s="14">
        <f>SUMIFS(Fact_TrialBalance[Amount],Fact_TrialBalance[EntityId],$C$8,Fact_TrialBalance[Category],"Occupancy",Fact_TrialBalance[FiscalYear],$H$6)</f>
        <v/>
      </c>
    </row>
    <row r="26">
      <c r="B26" t="inlineStr">
        <is>
          <t>Marketing &amp; Entertainment</t>
        </is>
      </c>
      <c r="C26" s="14">
        <f>SUMIFS(Fact_TrialBalance[Amount],Fact_TrialBalance[EntityId],$C$8,Fact_TrialBalance[Category],"Marketing &amp; Entertainment",Fact_TrialBalance[FiscalYear],$H$6)</f>
        <v/>
      </c>
    </row>
    <row r="27">
      <c r="B27" t="inlineStr">
        <is>
          <t>Administrative</t>
        </is>
      </c>
      <c r="C27" s="14">
        <f>SUMIFS(Fact_TrialBalance[Amount],Fact_TrialBalance[EntityId],$C$8,Fact_TrialBalance[Category],"Administrative",Fact_TrialBalance[FiscalYear],$H$6)</f>
        <v/>
      </c>
    </row>
    <row r="28">
      <c r="B28" t="inlineStr">
        <is>
          <t>Management Fees (Interco)</t>
        </is>
      </c>
      <c r="C28" s="14">
        <f>SUMIFS(Fact_TrialBalance[Amount],Fact_TrialBalance[EntityId],$C$8,Fact_TrialBalance[Category],"Management Fees (Interco)",Fact_TrialBalance[FiscalYear],$H$6)</f>
        <v/>
      </c>
    </row>
    <row r="29">
      <c r="B29" t="inlineStr">
        <is>
          <t>Interest &amp; Financing</t>
        </is>
      </c>
      <c r="C29" s="14">
        <f>SUMIFS(Fact_TrialBalance[Amount],Fact_TrialBalance[EntityId],$C$8,Fact_TrialBalance[Category],"Interest &amp; Financing",Fact_TrialBalance[FiscalYear],$H$6)</f>
        <v/>
      </c>
    </row>
    <row r="30">
      <c r="B30" t="inlineStr">
        <is>
          <t>Repairs &amp; Maintenance</t>
        </is>
      </c>
      <c r="C30" s="14">
        <f>SUMIFS(Fact_TrialBalance[Amount],Fact_TrialBalance[EntityId],$C$8,Fact_TrialBalance[Category],"Repairs &amp; Maintenance",Fact_TrialBalance[FiscalYear],$H$6)</f>
        <v/>
      </c>
    </row>
    <row r="31">
      <c r="B31" t="inlineStr">
        <is>
          <t>Amortization</t>
        </is>
      </c>
      <c r="C31" s="14">
        <f>SUMIFS(Fact_TrialBalance[Amount],Fact_TrialBalance[EntityId],$C$8,Fact_TrialBalance[Category],"Amortization",Fact_TrialBalance[FiscalYear],$H$6)</f>
        <v/>
      </c>
    </row>
    <row r="32">
      <c r="B32" t="inlineStr">
        <is>
          <t>Other Operating</t>
        </is>
      </c>
      <c r="C32" s="14">
        <f>SUMIFS(Fact_TrialBalance[Amount],Fact_TrialBalance[EntityId],$C$8,Fact_TrialBalance[Category],"Other Operating",Fact_TrialBalance[FiscalYear],$H$6)</f>
        <v/>
      </c>
    </row>
    <row r="33">
      <c r="B33" t="inlineStr">
        <is>
          <t>Income Tax</t>
        </is>
      </c>
      <c r="C33" s="14">
        <f>SUMIFS(Fact_TrialBalance[Amount],Fact_TrialBalance[EntityId],$C$8,Fact_TrialBalance[Category],"Income Tax",Fact_TrialBalance[FiscalYear],$H$6)</f>
        <v/>
      </c>
    </row>
  </sheetData>
  <mergeCells count="20">
    <mergeCell ref="D10:E10"/>
    <mergeCell ref="G15:H16"/>
    <mergeCell ref="B15:C16"/>
    <mergeCell ref="D15:E16"/>
    <mergeCell ref="G10:H10"/>
    <mergeCell ref="B14:C14"/>
    <mergeCell ref="B2:J3"/>
    <mergeCell ref="I15:J16"/>
    <mergeCell ref="B10:C10"/>
    <mergeCell ref="G11:H12"/>
    <mergeCell ref="I11:J12"/>
    <mergeCell ref="G14:H14"/>
    <mergeCell ref="B4:J4"/>
    <mergeCell ref="I14:J14"/>
    <mergeCell ref="C6:E6"/>
    <mergeCell ref="B11:C12"/>
    <mergeCell ref="I10:J10"/>
    <mergeCell ref="D11:E12"/>
    <mergeCell ref="D14:E14"/>
    <mergeCell ref="B19:E19"/>
  </mergeCells>
  <dataValidations count="2">
    <dataValidation sqref="C6" showDropDown="0" showInputMessage="0" showErrorMessage="0" allowBlank="0" type="list">
      <formula1>=Dim_Entity!$B$2:$B$16</formula1>
    </dataValidation>
    <dataValidation sqref="H6" showDropDown="0" showInputMessage="0" showErrorMessage="0" allowBlank="0" type="list">
      <formula1>=Dim_Calendar!$A$2:$A$3</formula1>
    </dataValidation>
  </dataValidation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</cols>
  <sheetData>
    <row r="1">
      <c r="A1" s="15" t="inlineStr">
        <is>
          <t>EntityId</t>
        </is>
      </c>
      <c r="B1" s="15" t="inlineStr">
        <is>
          <t>EntityName</t>
        </is>
      </c>
      <c r="C1" s="15" t="inlineStr">
        <is>
          <t>Segment</t>
        </is>
      </c>
    </row>
    <row r="2">
      <c r="A2" t="inlineStr">
        <is>
          <t>9357-7427 QI</t>
        </is>
      </c>
      <c r="B2" t="inlineStr">
        <is>
          <t>9357-7427 Québec Inc.</t>
        </is>
      </c>
      <c r="C2" t="inlineStr">
        <is>
          <t>HoldCo</t>
        </is>
      </c>
    </row>
    <row r="3">
      <c r="A3" t="inlineStr">
        <is>
          <t>9366-1676 QI</t>
        </is>
      </c>
      <c r="B3" t="inlineStr">
        <is>
          <t>9366-1676 Québec Inc.</t>
        </is>
      </c>
      <c r="C3" t="inlineStr">
        <is>
          <t>HoldCo</t>
        </is>
      </c>
    </row>
    <row r="4">
      <c r="A4" t="inlineStr">
        <is>
          <t>9425-4547 QI</t>
        </is>
      </c>
      <c r="B4" t="inlineStr">
        <is>
          <t>9425-4547 Québec Inc.</t>
        </is>
      </c>
      <c r="C4" t="inlineStr">
        <is>
          <t>HoldCo</t>
        </is>
      </c>
    </row>
    <row r="5">
      <c r="A5" t="inlineStr">
        <is>
          <t>9455-4177 QI</t>
        </is>
      </c>
      <c r="B5" t="inlineStr">
        <is>
          <t>9455-4177 Québec Inc.</t>
        </is>
      </c>
      <c r="C5" t="inlineStr">
        <is>
          <t>HoldCo</t>
        </is>
      </c>
    </row>
    <row r="6">
      <c r="A6" t="inlineStr">
        <is>
          <t>9455-4169 QI</t>
        </is>
      </c>
      <c r="B6" t="inlineStr">
        <is>
          <t>9455-4169 Québec Inc</t>
        </is>
      </c>
      <c r="C6" t="inlineStr">
        <is>
          <t>HoldCo</t>
        </is>
      </c>
    </row>
    <row r="7">
      <c r="A7" t="inlineStr">
        <is>
          <t>9455-4201 QI</t>
        </is>
      </c>
      <c r="B7" t="inlineStr">
        <is>
          <t>9455-4201 Québec inc.</t>
        </is>
      </c>
      <c r="C7" t="inlineStr">
        <is>
          <t>HoldCo</t>
        </is>
      </c>
    </row>
    <row r="8">
      <c r="A8" t="inlineStr">
        <is>
          <t>9108-6876 QI</t>
        </is>
      </c>
      <c r="B8" t="inlineStr">
        <is>
          <t>9108-6876 Québec Inc.</t>
        </is>
      </c>
      <c r="C8" t="inlineStr">
        <is>
          <t>Hospitality OpCo</t>
        </is>
      </c>
    </row>
    <row r="9">
      <c r="A9" t="inlineStr">
        <is>
          <t>N/A</t>
        </is>
      </c>
      <c r="B9" t="inlineStr">
        <is>
          <t>Bistro Guru Inc.</t>
        </is>
      </c>
      <c r="C9" t="inlineStr">
        <is>
          <t>Restaurant OpCo</t>
        </is>
      </c>
    </row>
    <row r="10">
      <c r="A10" t="inlineStr">
        <is>
          <t>9096-0436 QI</t>
        </is>
      </c>
      <c r="B10" t="inlineStr">
        <is>
          <t>9096-0436 Québec Inc.</t>
        </is>
      </c>
      <c r="C10" t="inlineStr">
        <is>
          <t>Restaurant OpCo</t>
        </is>
      </c>
    </row>
    <row r="11">
      <c r="A11" t="inlineStr">
        <is>
          <t>9455-8236 QI</t>
        </is>
      </c>
      <c r="B11" t="inlineStr">
        <is>
          <t>9455-8236 Québec Inc.</t>
        </is>
      </c>
      <c r="C11" t="inlineStr">
        <is>
          <t>Restaurant OpCo</t>
        </is>
      </c>
    </row>
    <row r="12">
      <c r="A12" t="inlineStr">
        <is>
          <t>9525-2854 QI</t>
        </is>
      </c>
      <c r="B12" t="inlineStr">
        <is>
          <t>9525-2854 Québec Inc.</t>
        </is>
      </c>
      <c r="C12" t="inlineStr">
        <is>
          <t>Restaurant OpCo</t>
        </is>
      </c>
    </row>
    <row r="13">
      <c r="A13" t="inlineStr">
        <is>
          <t>9366-1049 QI</t>
        </is>
      </c>
      <c r="B13" t="inlineStr">
        <is>
          <t>9366-1049 Québec Inc.</t>
        </is>
      </c>
      <c r="C13" t="inlineStr">
        <is>
          <t>Restaurant OpCo</t>
        </is>
      </c>
    </row>
    <row r="14">
      <c r="A14" t="inlineStr">
        <is>
          <t>9098-0558 QI</t>
        </is>
      </c>
      <c r="B14" t="inlineStr">
        <is>
          <t>9098-0558 Québec Inc.</t>
        </is>
      </c>
      <c r="C14" t="inlineStr">
        <is>
          <t>Restaurant OpCo</t>
        </is>
      </c>
    </row>
    <row r="15">
      <c r="A15" t="inlineStr">
        <is>
          <t>9504-7510 QI</t>
        </is>
      </c>
      <c r="B15" t="inlineStr">
        <is>
          <t>9504-7510 Québec Inc.</t>
        </is>
      </c>
      <c r="C15" t="inlineStr">
        <is>
          <t>Restaurant OpCo</t>
        </is>
      </c>
    </row>
    <row r="16">
      <c r="A16" t="inlineStr">
        <is>
          <t>2749-8567 QI</t>
        </is>
      </c>
      <c r="B16" t="inlineStr">
        <is>
          <t>2749-8567 Québec Inc.</t>
        </is>
      </c>
      <c r="C16" t="inlineStr">
        <is>
          <t>RealCo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15" t="inlineStr">
        <is>
          <t>FiscalYear</t>
        </is>
      </c>
      <c r="B1" s="15" t="inlineStr">
        <is>
          <t>YearEnd</t>
        </is>
      </c>
      <c r="C1" s="15" t="inlineStr">
        <is>
          <t>YearLabel</t>
        </is>
      </c>
    </row>
    <row r="2">
      <c r="A2" t="inlineStr">
        <is>
          <t>FY2024</t>
        </is>
      </c>
      <c r="B2" t="inlineStr">
        <is>
          <t>2024-03-31</t>
        </is>
      </c>
      <c r="C2" t="inlineStr">
        <is>
          <t>FY2024</t>
        </is>
      </c>
    </row>
    <row r="3">
      <c r="A3" t="inlineStr">
        <is>
          <t>FY2025</t>
        </is>
      </c>
      <c r="B3" t="inlineStr">
        <is>
          <t>2025-03-31</t>
        </is>
      </c>
      <c r="C3" t="inlineStr">
        <is>
          <t>FY2025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6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16" customWidth="1" min="4" max="4"/>
  </cols>
  <sheetData>
    <row r="1">
      <c r="A1" s="15" t="inlineStr">
        <is>
          <t>EntityId</t>
        </is>
      </c>
      <c r="B1" s="15" t="inlineStr">
        <is>
          <t>Category</t>
        </is>
      </c>
      <c r="C1" s="15" t="inlineStr">
        <is>
          <t>FiscalYear</t>
        </is>
      </c>
      <c r="D1" s="15" t="inlineStr">
        <is>
          <t>Amount</t>
        </is>
      </c>
    </row>
    <row r="2">
      <c r="A2" t="inlineStr">
        <is>
          <t>9357-7427 QI</t>
        </is>
      </c>
      <c r="B2" t="inlineStr">
        <is>
          <t>Payroll &amp; Benefits</t>
        </is>
      </c>
      <c r="C2" t="inlineStr">
        <is>
          <t>FY2025</t>
        </is>
      </c>
      <c r="D2" s="14" t="n">
        <v>477.24</v>
      </c>
    </row>
    <row r="3">
      <c r="A3" t="inlineStr">
        <is>
          <t>9357-7427 QI</t>
        </is>
      </c>
      <c r="B3" t="inlineStr">
        <is>
          <t>Administrative</t>
        </is>
      </c>
      <c r="C3" t="inlineStr">
        <is>
          <t>FY2025</t>
        </is>
      </c>
      <c r="D3" s="14" t="n">
        <v>2597</v>
      </c>
    </row>
    <row r="4">
      <c r="A4" t="inlineStr">
        <is>
          <t>9357-7427 QI</t>
        </is>
      </c>
      <c r="B4" t="inlineStr">
        <is>
          <t>Interest &amp; Financing</t>
        </is>
      </c>
      <c r="C4" t="inlineStr">
        <is>
          <t>FY2025</t>
        </is>
      </c>
      <c r="D4" s="14" t="n">
        <v>72.58</v>
      </c>
    </row>
    <row r="5">
      <c r="A5" t="inlineStr">
        <is>
          <t>9366-1676 QI</t>
        </is>
      </c>
      <c r="B5" t="inlineStr">
        <is>
          <t>Operating Revenue</t>
        </is>
      </c>
      <c r="C5" t="inlineStr">
        <is>
          <t>FY2025</t>
        </is>
      </c>
      <c r="D5" s="14" t="n">
        <v>-190152.12</v>
      </c>
    </row>
    <row r="6">
      <c r="A6" t="inlineStr">
        <is>
          <t>9366-1676 QI</t>
        </is>
      </c>
      <c r="B6" t="inlineStr">
        <is>
          <t>Administrative</t>
        </is>
      </c>
      <c r="C6" t="inlineStr">
        <is>
          <t>FY2025</t>
        </is>
      </c>
      <c r="D6" s="14" t="n">
        <v>215463.66</v>
      </c>
    </row>
    <row r="7">
      <c r="A7" t="inlineStr">
        <is>
          <t>9366-1676 QI</t>
        </is>
      </c>
      <c r="B7" t="inlineStr">
        <is>
          <t>Occupancy</t>
        </is>
      </c>
      <c r="C7" t="inlineStr">
        <is>
          <t>FY2025</t>
        </is>
      </c>
      <c r="D7" s="14" t="n">
        <v>33717.57</v>
      </c>
    </row>
    <row r="8">
      <c r="A8" t="inlineStr">
        <is>
          <t>9366-1676 QI</t>
        </is>
      </c>
      <c r="B8" t="inlineStr">
        <is>
          <t>Interest &amp; Financing</t>
        </is>
      </c>
      <c r="C8" t="inlineStr">
        <is>
          <t>FY2025</t>
        </is>
      </c>
      <c r="D8" s="14" t="n">
        <v>396762.02</v>
      </c>
    </row>
    <row r="9">
      <c r="A9" t="inlineStr">
        <is>
          <t>9366-1676 QI</t>
        </is>
      </c>
      <c r="B9" t="inlineStr">
        <is>
          <t>Repairs &amp; Maintenance</t>
        </is>
      </c>
      <c r="C9" t="inlineStr">
        <is>
          <t>FY2025</t>
        </is>
      </c>
      <c r="D9" s="14" t="n">
        <v>425</v>
      </c>
    </row>
    <row r="10">
      <c r="A10" t="inlineStr">
        <is>
          <t>9366-1676 QI</t>
        </is>
      </c>
      <c r="B10" t="inlineStr">
        <is>
          <t>Amortization</t>
        </is>
      </c>
      <c r="C10" t="inlineStr">
        <is>
          <t>FY2025</t>
        </is>
      </c>
      <c r="D10" s="14" t="n">
        <v>204136</v>
      </c>
    </row>
    <row r="11">
      <c r="A11" t="inlineStr">
        <is>
          <t>9425-4547 QI</t>
        </is>
      </c>
      <c r="B11" t="inlineStr">
        <is>
          <t>Operating Revenue</t>
        </is>
      </c>
      <c r="C11" t="inlineStr">
        <is>
          <t>FY2025</t>
        </is>
      </c>
      <c r="D11" s="14" t="n">
        <v>-273186</v>
      </c>
    </row>
    <row r="12">
      <c r="A12" t="inlineStr">
        <is>
          <t>9425-4547 QI</t>
        </is>
      </c>
      <c r="B12" t="inlineStr">
        <is>
          <t>Investment &amp; Other Income</t>
        </is>
      </c>
      <c r="C12" t="inlineStr">
        <is>
          <t>FY2025</t>
        </is>
      </c>
      <c r="D12" s="14" t="n">
        <v>-84146.62</v>
      </c>
    </row>
    <row r="13">
      <c r="A13" t="inlineStr">
        <is>
          <t>9425-4547 QI</t>
        </is>
      </c>
      <c r="B13" t="inlineStr">
        <is>
          <t>Administrative</t>
        </is>
      </c>
      <c r="C13" t="inlineStr">
        <is>
          <t>FY2025</t>
        </is>
      </c>
      <c r="D13" s="14" t="n">
        <v>81647.35000000001</v>
      </c>
    </row>
    <row r="14">
      <c r="A14" t="inlineStr">
        <is>
          <t>9425-4547 QI</t>
        </is>
      </c>
      <c r="B14" t="inlineStr">
        <is>
          <t>Occupancy</t>
        </is>
      </c>
      <c r="C14" t="inlineStr">
        <is>
          <t>FY2025</t>
        </is>
      </c>
      <c r="D14" s="14" t="n">
        <v>8110.21</v>
      </c>
    </row>
    <row r="15">
      <c r="A15" t="inlineStr">
        <is>
          <t>9425-4547 QI</t>
        </is>
      </c>
      <c r="B15" t="inlineStr">
        <is>
          <t>Interest &amp; Financing</t>
        </is>
      </c>
      <c r="C15" t="inlineStr">
        <is>
          <t>FY2025</t>
        </is>
      </c>
      <c r="D15" s="14" t="n">
        <v>147839</v>
      </c>
    </row>
    <row r="16">
      <c r="A16" t="inlineStr">
        <is>
          <t>9425-4547 QI</t>
        </is>
      </c>
      <c r="B16" t="inlineStr">
        <is>
          <t>Amortization</t>
        </is>
      </c>
      <c r="C16" t="inlineStr">
        <is>
          <t>FY2025</t>
        </is>
      </c>
      <c r="D16" s="14" t="n">
        <v>14870</v>
      </c>
    </row>
    <row r="17">
      <c r="A17" t="inlineStr">
        <is>
          <t>9425-4547 QI</t>
        </is>
      </c>
      <c r="B17" t="inlineStr">
        <is>
          <t>Income Tax</t>
        </is>
      </c>
      <c r="C17" t="inlineStr">
        <is>
          <t>FY2025</t>
        </is>
      </c>
      <c r="D17" s="14" t="n">
        <v>14359</v>
      </c>
    </row>
    <row r="18">
      <c r="A18" t="inlineStr">
        <is>
          <t>9455-4177 QI</t>
        </is>
      </c>
      <c r="B18" t="inlineStr">
        <is>
          <t>Administrative</t>
        </is>
      </c>
      <c r="C18" t="inlineStr">
        <is>
          <t>FY2025</t>
        </is>
      </c>
      <c r="D18" s="14" t="n">
        <v>2944</v>
      </c>
    </row>
    <row r="19">
      <c r="A19" t="inlineStr">
        <is>
          <t>9455-4177 QI</t>
        </is>
      </c>
      <c r="B19" t="inlineStr">
        <is>
          <t>Interest &amp; Financing</t>
        </is>
      </c>
      <c r="C19" t="inlineStr">
        <is>
          <t>FY2025</t>
        </is>
      </c>
      <c r="D19" s="14" t="n">
        <v>71.31</v>
      </c>
    </row>
    <row r="20">
      <c r="A20" t="inlineStr">
        <is>
          <t>9455-4169 QI</t>
        </is>
      </c>
      <c r="B20" t="inlineStr">
        <is>
          <t>Administrative</t>
        </is>
      </c>
      <c r="C20" t="inlineStr">
        <is>
          <t>FY2025</t>
        </is>
      </c>
      <c r="D20" s="14" t="n">
        <v>2994</v>
      </c>
    </row>
    <row r="21">
      <c r="A21" t="inlineStr">
        <is>
          <t>9455-4169 QI</t>
        </is>
      </c>
      <c r="B21" t="inlineStr">
        <is>
          <t>Interest &amp; Financing</t>
        </is>
      </c>
      <c r="C21" t="inlineStr">
        <is>
          <t>FY2025</t>
        </is>
      </c>
      <c r="D21" s="14" t="n">
        <v>71.34999999999999</v>
      </c>
    </row>
    <row r="22">
      <c r="A22" t="inlineStr">
        <is>
          <t>9455-4201 QI</t>
        </is>
      </c>
      <c r="B22" t="inlineStr">
        <is>
          <t>Investment &amp; Other Income</t>
        </is>
      </c>
      <c r="C22" t="inlineStr">
        <is>
          <t>FY2025</t>
        </is>
      </c>
      <c r="D22" s="14" t="n">
        <v>-673859.71</v>
      </c>
    </row>
    <row r="23">
      <c r="A23" t="inlineStr">
        <is>
          <t>9455-4201 QI</t>
        </is>
      </c>
      <c r="B23" t="inlineStr">
        <is>
          <t>Administrative</t>
        </is>
      </c>
      <c r="C23" t="inlineStr">
        <is>
          <t>FY2025</t>
        </is>
      </c>
      <c r="D23" s="14" t="n">
        <v>12508.63</v>
      </c>
    </row>
    <row r="24">
      <c r="A24" t="inlineStr">
        <is>
          <t>9455-4201 QI</t>
        </is>
      </c>
      <c r="B24" t="inlineStr">
        <is>
          <t>Interest &amp; Financing</t>
        </is>
      </c>
      <c r="C24" t="inlineStr">
        <is>
          <t>FY2025</t>
        </is>
      </c>
      <c r="D24" s="14" t="n">
        <v>89815.85000000001</v>
      </c>
    </row>
    <row r="25">
      <c r="A25" t="inlineStr">
        <is>
          <t>9108-6876 QI</t>
        </is>
      </c>
      <c r="B25" t="inlineStr">
        <is>
          <t>Operating Revenue</t>
        </is>
      </c>
      <c r="C25" t="inlineStr">
        <is>
          <t>FY2025</t>
        </is>
      </c>
      <c r="D25" s="14" t="n">
        <v>-2619357.52</v>
      </c>
    </row>
    <row r="26">
      <c r="A26" t="inlineStr">
        <is>
          <t>9108-6876 QI</t>
        </is>
      </c>
      <c r="B26" t="inlineStr">
        <is>
          <t>Payroll &amp; Benefits</t>
        </is>
      </c>
      <c r="C26" t="inlineStr">
        <is>
          <t>FY2025</t>
        </is>
      </c>
      <c r="D26" s="14" t="n">
        <v>621319.65</v>
      </c>
    </row>
    <row r="27">
      <c r="A27" t="inlineStr">
        <is>
          <t>9108-6876 QI</t>
        </is>
      </c>
      <c r="B27" t="inlineStr">
        <is>
          <t>Administrative</t>
        </is>
      </c>
      <c r="C27" t="inlineStr">
        <is>
          <t>FY2025</t>
        </is>
      </c>
      <c r="D27" s="14" t="n">
        <v>168226.05</v>
      </c>
    </row>
    <row r="28">
      <c r="A28" t="inlineStr">
        <is>
          <t>9108-6876 QI</t>
        </is>
      </c>
      <c r="B28" t="inlineStr">
        <is>
          <t>Management Fees (Interco)</t>
        </is>
      </c>
      <c r="C28" t="inlineStr">
        <is>
          <t>FY2025</t>
        </is>
      </c>
      <c r="D28" s="14" t="n">
        <v>0</v>
      </c>
    </row>
    <row r="29">
      <c r="A29" t="inlineStr">
        <is>
          <t>9108-6876 QI</t>
        </is>
      </c>
      <c r="B29" t="inlineStr">
        <is>
          <t>Occupancy</t>
        </is>
      </c>
      <c r="C29" t="inlineStr">
        <is>
          <t>FY2025</t>
        </is>
      </c>
      <c r="D29" s="14" t="n">
        <v>293846.95</v>
      </c>
    </row>
    <row r="30">
      <c r="A30" t="inlineStr">
        <is>
          <t>9108-6876 QI</t>
        </is>
      </c>
      <c r="B30" t="inlineStr">
        <is>
          <t>Other Operating</t>
        </is>
      </c>
      <c r="C30" t="inlineStr">
        <is>
          <t>FY2025</t>
        </is>
      </c>
      <c r="D30" s="14" t="n">
        <v>220492.18</v>
      </c>
    </row>
    <row r="31">
      <c r="A31" t="inlineStr">
        <is>
          <t>9108-6876 QI</t>
        </is>
      </c>
      <c r="B31" t="inlineStr">
        <is>
          <t>Interest &amp; Financing</t>
        </is>
      </c>
      <c r="C31" t="inlineStr">
        <is>
          <t>FY2025</t>
        </is>
      </c>
      <c r="D31" s="14" t="n">
        <v>92484.47</v>
      </c>
    </row>
    <row r="32">
      <c r="A32" t="inlineStr">
        <is>
          <t>9108-6876 QI</t>
        </is>
      </c>
      <c r="B32" t="inlineStr">
        <is>
          <t>Marketing &amp; Entertainment</t>
        </is>
      </c>
      <c r="C32" t="inlineStr">
        <is>
          <t>FY2025</t>
        </is>
      </c>
      <c r="D32" s="14" t="n">
        <v>265493.63</v>
      </c>
    </row>
    <row r="33">
      <c r="A33" t="inlineStr">
        <is>
          <t>9108-6876 QI</t>
        </is>
      </c>
      <c r="B33" t="inlineStr">
        <is>
          <t>Repairs &amp; Maintenance</t>
        </is>
      </c>
      <c r="C33" t="inlineStr">
        <is>
          <t>FY2025</t>
        </is>
      </c>
      <c r="D33" s="14" t="n">
        <v>191530.24</v>
      </c>
    </row>
    <row r="34">
      <c r="A34" t="inlineStr">
        <is>
          <t>9108-6876 QI</t>
        </is>
      </c>
      <c r="B34" t="inlineStr">
        <is>
          <t>Amortization</t>
        </is>
      </c>
      <c r="C34" t="inlineStr">
        <is>
          <t>FY2025</t>
        </is>
      </c>
      <c r="D34" s="14" t="n">
        <v>196184</v>
      </c>
    </row>
    <row r="35">
      <c r="A35" t="inlineStr">
        <is>
          <t>9108-6876 QI</t>
        </is>
      </c>
      <c r="B35" t="inlineStr">
        <is>
          <t>COGS</t>
        </is>
      </c>
      <c r="C35" t="inlineStr">
        <is>
          <t>FY2025</t>
        </is>
      </c>
      <c r="D35" s="14" t="n">
        <v>253612.21</v>
      </c>
    </row>
    <row r="36">
      <c r="A36" t="inlineStr">
        <is>
          <t>9108-6876 QI</t>
        </is>
      </c>
      <c r="B36" t="inlineStr">
        <is>
          <t>Income Tax</t>
        </is>
      </c>
      <c r="C36" t="inlineStr">
        <is>
          <t>FY2025</t>
        </is>
      </c>
      <c r="D36" s="14" t="n">
        <v>11587</v>
      </c>
    </row>
    <row r="37">
      <c r="A37" t="inlineStr">
        <is>
          <t>N/A</t>
        </is>
      </c>
      <c r="B37" t="inlineStr">
        <is>
          <t>Operating Revenue</t>
        </is>
      </c>
      <c r="C37" t="inlineStr">
        <is>
          <t>FY2025</t>
        </is>
      </c>
      <c r="D37" s="14" t="n">
        <v>-95567.31</v>
      </c>
    </row>
    <row r="38">
      <c r="A38" t="inlineStr">
        <is>
          <t>N/A</t>
        </is>
      </c>
      <c r="B38" t="inlineStr">
        <is>
          <t>Management Fees (Interco)</t>
        </is>
      </c>
      <c r="C38" t="inlineStr">
        <is>
          <t>FY2025</t>
        </is>
      </c>
      <c r="D38" s="14" t="n">
        <v>-4000</v>
      </c>
    </row>
    <row r="39">
      <c r="A39" t="inlineStr">
        <is>
          <t>N/A</t>
        </is>
      </c>
      <c r="B39" t="inlineStr">
        <is>
          <t>COGS</t>
        </is>
      </c>
      <c r="C39" t="inlineStr">
        <is>
          <t>FY2025</t>
        </is>
      </c>
      <c r="D39" s="14" t="n">
        <v>26137.11</v>
      </c>
    </row>
    <row r="40">
      <c r="A40" t="inlineStr">
        <is>
          <t>N/A</t>
        </is>
      </c>
      <c r="B40" t="inlineStr">
        <is>
          <t>Other Operating</t>
        </is>
      </c>
      <c r="C40" t="inlineStr">
        <is>
          <t>FY2025</t>
        </is>
      </c>
      <c r="D40" s="14" t="n">
        <v>810</v>
      </c>
    </row>
    <row r="41">
      <c r="A41" t="inlineStr">
        <is>
          <t>N/A</t>
        </is>
      </c>
      <c r="B41" t="inlineStr">
        <is>
          <t>Payroll &amp; Benefits</t>
        </is>
      </c>
      <c r="C41" t="inlineStr">
        <is>
          <t>FY2025</t>
        </is>
      </c>
      <c r="D41" s="14" t="n">
        <v>49571.73</v>
      </c>
    </row>
    <row r="42">
      <c r="A42" t="inlineStr">
        <is>
          <t>N/A</t>
        </is>
      </c>
      <c r="B42" t="inlineStr">
        <is>
          <t>Administrative</t>
        </is>
      </c>
      <c r="C42" t="inlineStr">
        <is>
          <t>FY2025</t>
        </is>
      </c>
      <c r="D42" s="14" t="n">
        <v>9462.879999999999</v>
      </c>
    </row>
    <row r="43">
      <c r="A43" t="inlineStr">
        <is>
          <t>N/A</t>
        </is>
      </c>
      <c r="B43" t="inlineStr">
        <is>
          <t>Occupancy</t>
        </is>
      </c>
      <c r="C43" t="inlineStr">
        <is>
          <t>FY2025</t>
        </is>
      </c>
      <c r="D43" s="14" t="n">
        <v>4362.05</v>
      </c>
    </row>
    <row r="44">
      <c r="A44" t="inlineStr">
        <is>
          <t>N/A</t>
        </is>
      </c>
      <c r="B44" t="inlineStr">
        <is>
          <t>Marketing &amp; Entertainment</t>
        </is>
      </c>
      <c r="C44" t="inlineStr">
        <is>
          <t>FY2025</t>
        </is>
      </c>
      <c r="D44" s="14" t="n">
        <v>14786</v>
      </c>
    </row>
    <row r="45">
      <c r="A45" t="inlineStr">
        <is>
          <t>N/A</t>
        </is>
      </c>
      <c r="B45" t="inlineStr">
        <is>
          <t>Repairs &amp; Maintenance</t>
        </is>
      </c>
      <c r="C45" t="inlineStr">
        <is>
          <t>FY2025</t>
        </is>
      </c>
      <c r="D45" s="14" t="n">
        <v>9729.889999999999</v>
      </c>
    </row>
    <row r="46">
      <c r="A46" t="inlineStr">
        <is>
          <t>N/A</t>
        </is>
      </c>
      <c r="B46" t="inlineStr">
        <is>
          <t>Amortization</t>
        </is>
      </c>
      <c r="C46" t="inlineStr">
        <is>
          <t>FY2025</t>
        </is>
      </c>
      <c r="D46" s="14" t="n">
        <v>11858</v>
      </c>
    </row>
    <row r="47">
      <c r="A47" t="inlineStr">
        <is>
          <t>N/A</t>
        </is>
      </c>
      <c r="B47" t="inlineStr">
        <is>
          <t>Interest &amp; Financing</t>
        </is>
      </c>
      <c r="C47" t="inlineStr">
        <is>
          <t>FY2025</t>
        </is>
      </c>
      <c r="D47" s="14" t="n">
        <v>2968.54</v>
      </c>
    </row>
    <row r="48">
      <c r="A48" t="inlineStr">
        <is>
          <t>9096-0436 QI</t>
        </is>
      </c>
      <c r="B48" t="inlineStr">
        <is>
          <t>Operating Revenue</t>
        </is>
      </c>
      <c r="C48" t="inlineStr">
        <is>
          <t>FY2025</t>
        </is>
      </c>
      <c r="D48" s="14" t="n">
        <v>-182159.16</v>
      </c>
    </row>
    <row r="49">
      <c r="A49" t="inlineStr">
        <is>
          <t>9096-0436 QI</t>
        </is>
      </c>
      <c r="B49" t="inlineStr">
        <is>
          <t>COGS</t>
        </is>
      </c>
      <c r="C49" t="inlineStr">
        <is>
          <t>FY2025</t>
        </is>
      </c>
      <c r="D49" s="14" t="n">
        <v>21629.4</v>
      </c>
    </row>
    <row r="50">
      <c r="A50" t="inlineStr">
        <is>
          <t>9096-0436 QI</t>
        </is>
      </c>
      <c r="B50" t="inlineStr">
        <is>
          <t>Other Operating</t>
        </is>
      </c>
      <c r="C50" t="inlineStr">
        <is>
          <t>FY2025</t>
        </is>
      </c>
      <c r="D50" s="14" t="n">
        <v>27832.1</v>
      </c>
    </row>
    <row r="51">
      <c r="A51" t="inlineStr">
        <is>
          <t>9096-0436 QI</t>
        </is>
      </c>
      <c r="B51" t="inlineStr">
        <is>
          <t>Payroll &amp; Benefits</t>
        </is>
      </c>
      <c r="C51" t="inlineStr">
        <is>
          <t>FY2025</t>
        </is>
      </c>
      <c r="D51" s="14" t="n">
        <v>69042.92999999999</v>
      </c>
    </row>
    <row r="52">
      <c r="A52" t="inlineStr">
        <is>
          <t>9096-0436 QI</t>
        </is>
      </c>
      <c r="B52" t="inlineStr">
        <is>
          <t>Administrative</t>
        </is>
      </c>
      <c r="C52" t="inlineStr">
        <is>
          <t>FY2025</t>
        </is>
      </c>
      <c r="D52" s="14" t="n">
        <v>31662.59</v>
      </c>
    </row>
    <row r="53">
      <c r="A53" t="inlineStr">
        <is>
          <t>9096-0436 QI</t>
        </is>
      </c>
      <c r="B53" t="inlineStr">
        <is>
          <t>Occupancy</t>
        </is>
      </c>
      <c r="C53" t="inlineStr">
        <is>
          <t>FY2025</t>
        </is>
      </c>
      <c r="D53" s="14" t="n">
        <v>84249.49000000001</v>
      </c>
    </row>
    <row r="54">
      <c r="A54" t="inlineStr">
        <is>
          <t>9096-0436 QI</t>
        </is>
      </c>
      <c r="B54" t="inlineStr">
        <is>
          <t>Interest &amp; Financing</t>
        </is>
      </c>
      <c r="C54" t="inlineStr">
        <is>
          <t>FY2025</t>
        </is>
      </c>
      <c r="D54" s="14" t="n">
        <v>7029.13</v>
      </c>
    </row>
    <row r="55">
      <c r="A55" t="inlineStr">
        <is>
          <t>9096-0436 QI</t>
        </is>
      </c>
      <c r="B55" t="inlineStr">
        <is>
          <t>Marketing &amp; Entertainment</t>
        </is>
      </c>
      <c r="C55" t="inlineStr">
        <is>
          <t>FY2025</t>
        </is>
      </c>
      <c r="D55" s="14" t="n">
        <v>10695.5</v>
      </c>
    </row>
    <row r="56">
      <c r="A56" t="inlineStr">
        <is>
          <t>9096-0436 QI</t>
        </is>
      </c>
      <c r="B56" t="inlineStr">
        <is>
          <t>Repairs &amp; Maintenance</t>
        </is>
      </c>
      <c r="C56" t="inlineStr">
        <is>
          <t>FY2025</t>
        </is>
      </c>
      <c r="D56" s="14" t="n">
        <v>3911.77</v>
      </c>
    </row>
    <row r="57">
      <c r="A57" t="inlineStr">
        <is>
          <t>9096-0436 QI</t>
        </is>
      </c>
      <c r="B57" t="inlineStr">
        <is>
          <t>Amortization</t>
        </is>
      </c>
      <c r="C57" t="inlineStr">
        <is>
          <t>FY2025</t>
        </is>
      </c>
      <c r="D57" s="14" t="n">
        <v>8519</v>
      </c>
    </row>
    <row r="58">
      <c r="A58" t="inlineStr">
        <is>
          <t>9096-0436 QI</t>
        </is>
      </c>
      <c r="B58" t="inlineStr">
        <is>
          <t>Management Fees (Interco)</t>
        </is>
      </c>
      <c r="C58" t="inlineStr">
        <is>
          <t>FY2025</t>
        </is>
      </c>
      <c r="D58" s="14" t="n">
        <v>-63372</v>
      </c>
    </row>
    <row r="59">
      <c r="A59" t="inlineStr">
        <is>
          <t>9096-0436 QI</t>
        </is>
      </c>
      <c r="B59" t="inlineStr">
        <is>
          <t>Income Tax</t>
        </is>
      </c>
      <c r="C59" t="inlineStr">
        <is>
          <t>FY2025</t>
        </is>
      </c>
      <c r="D59" s="14" t="n">
        <v>0</v>
      </c>
    </row>
    <row r="60">
      <c r="A60" t="inlineStr">
        <is>
          <t>9525-2854 QI</t>
        </is>
      </c>
      <c r="B60" t="inlineStr">
        <is>
          <t>Operating Revenue</t>
        </is>
      </c>
      <c r="C60" t="inlineStr">
        <is>
          <t>FY2025</t>
        </is>
      </c>
      <c r="D60" s="14" t="n">
        <v>-60617.22</v>
      </c>
    </row>
    <row r="61">
      <c r="A61" t="inlineStr">
        <is>
          <t>9525-2854 QI</t>
        </is>
      </c>
      <c r="B61" t="inlineStr">
        <is>
          <t>COGS</t>
        </is>
      </c>
      <c r="C61" t="inlineStr">
        <is>
          <t>FY2025</t>
        </is>
      </c>
      <c r="D61" s="14" t="n">
        <v>28338.6</v>
      </c>
    </row>
    <row r="62">
      <c r="A62" t="inlineStr">
        <is>
          <t>9525-2854 QI</t>
        </is>
      </c>
      <c r="B62" t="inlineStr">
        <is>
          <t>Other Operating</t>
        </is>
      </c>
      <c r="C62" t="inlineStr">
        <is>
          <t>FY2025</t>
        </is>
      </c>
      <c r="D62" s="14" t="n">
        <v>2150.87</v>
      </c>
    </row>
    <row r="63">
      <c r="A63" t="inlineStr">
        <is>
          <t>9525-2854 QI</t>
        </is>
      </c>
      <c r="B63" t="inlineStr">
        <is>
          <t>Payroll &amp; Benefits</t>
        </is>
      </c>
      <c r="C63" t="inlineStr">
        <is>
          <t>FY2025</t>
        </is>
      </c>
      <c r="D63" s="14" t="n">
        <v>17017.8</v>
      </c>
    </row>
    <row r="64">
      <c r="A64" t="inlineStr">
        <is>
          <t>9525-2854 QI</t>
        </is>
      </c>
      <c r="B64" t="inlineStr">
        <is>
          <t>Administrative</t>
        </is>
      </c>
      <c r="C64" t="inlineStr">
        <is>
          <t>FY2025</t>
        </is>
      </c>
      <c r="D64" s="14" t="n">
        <v>7827.94</v>
      </c>
    </row>
    <row r="65">
      <c r="A65" t="inlineStr">
        <is>
          <t>9525-2854 QI</t>
        </is>
      </c>
      <c r="B65" t="inlineStr">
        <is>
          <t>Occupancy</t>
        </is>
      </c>
      <c r="C65" t="inlineStr">
        <is>
          <t>FY2025</t>
        </is>
      </c>
      <c r="D65" s="14" t="n">
        <v>8.15</v>
      </c>
    </row>
    <row r="66">
      <c r="A66" t="inlineStr">
        <is>
          <t>9525-2854 QI</t>
        </is>
      </c>
      <c r="B66" t="inlineStr">
        <is>
          <t>Interest &amp; Financing</t>
        </is>
      </c>
      <c r="C66" t="inlineStr">
        <is>
          <t>FY2025</t>
        </is>
      </c>
      <c r="D66" s="14" t="n">
        <v>160</v>
      </c>
    </row>
    <row r="67">
      <c r="A67" t="inlineStr">
        <is>
          <t>9525-2854 QI</t>
        </is>
      </c>
      <c r="B67" t="inlineStr">
        <is>
          <t>Marketing &amp; Entertainment</t>
        </is>
      </c>
      <c r="C67" t="inlineStr">
        <is>
          <t>FY2025</t>
        </is>
      </c>
      <c r="D67" s="14" t="n">
        <v>4169</v>
      </c>
    </row>
    <row r="68">
      <c r="A68" t="inlineStr">
        <is>
          <t>9525-2854 QI</t>
        </is>
      </c>
      <c r="B68" t="inlineStr">
        <is>
          <t>Repairs &amp; Maintenance</t>
        </is>
      </c>
      <c r="C68" t="inlineStr">
        <is>
          <t>FY2025</t>
        </is>
      </c>
      <c r="D68" s="14" t="n">
        <v>5393.52</v>
      </c>
    </row>
    <row r="69">
      <c r="A69" t="inlineStr">
        <is>
          <t>9525-2854 QI</t>
        </is>
      </c>
      <c r="B69" t="inlineStr">
        <is>
          <t>Amortization</t>
        </is>
      </c>
      <c r="C69" t="inlineStr">
        <is>
          <t>FY2025</t>
        </is>
      </c>
      <c r="D69" s="14" t="n">
        <v>1273</v>
      </c>
    </row>
    <row r="70">
      <c r="A70" t="inlineStr">
        <is>
          <t>9366-1049 QI</t>
        </is>
      </c>
      <c r="B70" t="inlineStr">
        <is>
          <t>Operating Revenue</t>
        </is>
      </c>
      <c r="C70" t="inlineStr">
        <is>
          <t>FY2025</t>
        </is>
      </c>
      <c r="D70" s="14" t="n">
        <v>-4019729.03</v>
      </c>
    </row>
    <row r="71">
      <c r="A71" t="inlineStr">
        <is>
          <t>9366-1049 QI</t>
        </is>
      </c>
      <c r="B71" t="inlineStr">
        <is>
          <t>Investment &amp; Other Income</t>
        </is>
      </c>
      <c r="C71" t="inlineStr">
        <is>
          <t>FY2025</t>
        </is>
      </c>
      <c r="D71" s="14" t="n">
        <v>-368.06</v>
      </c>
    </row>
    <row r="72">
      <c r="A72" t="inlineStr">
        <is>
          <t>9366-1049 QI</t>
        </is>
      </c>
      <c r="B72" t="inlineStr">
        <is>
          <t>Administrative</t>
        </is>
      </c>
      <c r="C72" t="inlineStr">
        <is>
          <t>FY2025</t>
        </is>
      </c>
      <c r="D72" s="14" t="n">
        <v>107199.45</v>
      </c>
    </row>
    <row r="73">
      <c r="A73" t="inlineStr">
        <is>
          <t>9366-1049 QI</t>
        </is>
      </c>
      <c r="B73" t="inlineStr">
        <is>
          <t>COGS</t>
        </is>
      </c>
      <c r="C73" t="inlineStr">
        <is>
          <t>FY2025</t>
        </is>
      </c>
      <c r="D73" s="14" t="n">
        <v>1119490.92</v>
      </c>
    </row>
    <row r="74">
      <c r="A74" t="inlineStr">
        <is>
          <t>9366-1049 QI</t>
        </is>
      </c>
      <c r="B74" t="inlineStr">
        <is>
          <t>Other Operating</t>
        </is>
      </c>
      <c r="C74" t="inlineStr">
        <is>
          <t>FY2025</t>
        </is>
      </c>
      <c r="D74" s="14" t="n">
        <v>51113.58</v>
      </c>
    </row>
    <row r="75">
      <c r="A75" t="inlineStr">
        <is>
          <t>9366-1049 QI</t>
        </is>
      </c>
      <c r="B75" t="inlineStr">
        <is>
          <t>Payroll &amp; Benefits</t>
        </is>
      </c>
      <c r="C75" t="inlineStr">
        <is>
          <t>FY2025</t>
        </is>
      </c>
      <c r="D75" s="14" t="n">
        <v>1648002.47</v>
      </c>
    </row>
    <row r="76">
      <c r="A76" t="inlineStr">
        <is>
          <t>9366-1049 QI</t>
        </is>
      </c>
      <c r="B76" t="inlineStr">
        <is>
          <t>Occupancy</t>
        </is>
      </c>
      <c r="C76" t="inlineStr">
        <is>
          <t>FY2025</t>
        </is>
      </c>
      <c r="D76" s="14" t="n">
        <v>285429.57</v>
      </c>
    </row>
    <row r="77">
      <c r="A77" t="inlineStr">
        <is>
          <t>9366-1049 QI</t>
        </is>
      </c>
      <c r="B77" t="inlineStr">
        <is>
          <t>Interest &amp; Financing</t>
        </is>
      </c>
      <c r="C77" t="inlineStr">
        <is>
          <t>FY2025</t>
        </is>
      </c>
      <c r="D77" s="14" t="n">
        <v>119756.18</v>
      </c>
    </row>
    <row r="78">
      <c r="A78" t="inlineStr">
        <is>
          <t>9366-1049 QI</t>
        </is>
      </c>
      <c r="B78" t="inlineStr">
        <is>
          <t>Marketing &amp; Entertainment</t>
        </is>
      </c>
      <c r="C78" t="inlineStr">
        <is>
          <t>FY2025</t>
        </is>
      </c>
      <c r="D78" s="14" t="n">
        <v>152125.33</v>
      </c>
    </row>
    <row r="79">
      <c r="A79" t="inlineStr">
        <is>
          <t>9366-1049 QI</t>
        </is>
      </c>
      <c r="B79" t="inlineStr">
        <is>
          <t>Repairs &amp; Maintenance</t>
        </is>
      </c>
      <c r="C79" t="inlineStr">
        <is>
          <t>FY2025</t>
        </is>
      </c>
      <c r="D79" s="14" t="n">
        <v>112954.41</v>
      </c>
    </row>
    <row r="80">
      <c r="A80" t="inlineStr">
        <is>
          <t>9366-1049 QI</t>
        </is>
      </c>
      <c r="B80" t="inlineStr">
        <is>
          <t>Amortization</t>
        </is>
      </c>
      <c r="C80" t="inlineStr">
        <is>
          <t>FY2025</t>
        </is>
      </c>
      <c r="D80" s="14" t="n">
        <v>115151</v>
      </c>
    </row>
    <row r="81">
      <c r="A81" t="inlineStr">
        <is>
          <t>9366-1049 QI</t>
        </is>
      </c>
      <c r="B81" t="inlineStr">
        <is>
          <t>Income Tax</t>
        </is>
      </c>
      <c r="C81" t="inlineStr">
        <is>
          <t>FY2025</t>
        </is>
      </c>
      <c r="D81" s="14" t="n">
        <v>55522</v>
      </c>
    </row>
    <row r="82">
      <c r="A82" t="inlineStr">
        <is>
          <t>9098-0558 QI</t>
        </is>
      </c>
      <c r="B82" t="inlineStr">
        <is>
          <t>Operating Revenue</t>
        </is>
      </c>
      <c r="C82" t="inlineStr">
        <is>
          <t>FY2025</t>
        </is>
      </c>
      <c r="D82" s="14" t="n">
        <v>-1606736.08</v>
      </c>
    </row>
    <row r="83">
      <c r="A83" t="inlineStr">
        <is>
          <t>9098-0558 QI</t>
        </is>
      </c>
      <c r="B83" t="inlineStr">
        <is>
          <t>COGS</t>
        </is>
      </c>
      <c r="C83" t="inlineStr">
        <is>
          <t>FY2025</t>
        </is>
      </c>
      <c r="D83" s="14" t="n">
        <v>532558.45</v>
      </c>
    </row>
    <row r="84">
      <c r="A84" t="inlineStr">
        <is>
          <t>9098-0558 QI</t>
        </is>
      </c>
      <c r="B84" t="inlineStr">
        <is>
          <t>Occupancy</t>
        </is>
      </c>
      <c r="C84" t="inlineStr">
        <is>
          <t>FY2025</t>
        </is>
      </c>
      <c r="D84" s="14" t="n">
        <v>123519.92</v>
      </c>
    </row>
    <row r="85">
      <c r="A85" t="inlineStr">
        <is>
          <t>9098-0558 QI</t>
        </is>
      </c>
      <c r="B85" t="inlineStr">
        <is>
          <t>Administrative</t>
        </is>
      </c>
      <c r="C85" t="inlineStr">
        <is>
          <t>FY2025</t>
        </is>
      </c>
      <c r="D85" s="14" t="n">
        <v>85380.3</v>
      </c>
    </row>
    <row r="86">
      <c r="A86" t="inlineStr">
        <is>
          <t>9098-0558 QI</t>
        </is>
      </c>
      <c r="B86" t="inlineStr">
        <is>
          <t>Repairs &amp; Maintenance</t>
        </is>
      </c>
      <c r="C86" t="inlineStr">
        <is>
          <t>FY2025</t>
        </is>
      </c>
      <c r="D86" s="14" t="n">
        <v>58086.76</v>
      </c>
    </row>
    <row r="87">
      <c r="A87" t="inlineStr">
        <is>
          <t>9098-0558 QI</t>
        </is>
      </c>
      <c r="B87" t="inlineStr">
        <is>
          <t>Other Operating</t>
        </is>
      </c>
      <c r="C87" t="inlineStr">
        <is>
          <t>FY2025</t>
        </is>
      </c>
      <c r="D87" s="14" t="n">
        <v>85997.69</v>
      </c>
    </row>
    <row r="88">
      <c r="A88" t="inlineStr">
        <is>
          <t>9098-0558 QI</t>
        </is>
      </c>
      <c r="B88" t="inlineStr">
        <is>
          <t>Payroll &amp; Benefits</t>
        </is>
      </c>
      <c r="C88" t="inlineStr">
        <is>
          <t>FY2025</t>
        </is>
      </c>
      <c r="D88" s="14" t="n">
        <v>371058.72</v>
      </c>
    </row>
    <row r="89">
      <c r="A89" t="inlineStr">
        <is>
          <t>9098-0558 QI</t>
        </is>
      </c>
      <c r="B89" t="inlineStr">
        <is>
          <t>Management Fees (Interco)</t>
        </is>
      </c>
      <c r="C89" t="inlineStr">
        <is>
          <t>FY2025</t>
        </is>
      </c>
      <c r="D89" s="14" t="n">
        <v>51872</v>
      </c>
    </row>
    <row r="90">
      <c r="A90" t="inlineStr">
        <is>
          <t>9098-0558 QI</t>
        </is>
      </c>
      <c r="B90" t="inlineStr">
        <is>
          <t>Interest &amp; Financing</t>
        </is>
      </c>
      <c r="C90" t="inlineStr">
        <is>
          <t>FY2025</t>
        </is>
      </c>
      <c r="D90" s="14" t="n">
        <v>35063.04</v>
      </c>
    </row>
    <row r="91">
      <c r="A91" t="inlineStr">
        <is>
          <t>9098-0558 QI</t>
        </is>
      </c>
      <c r="B91" t="inlineStr">
        <is>
          <t>Marketing &amp; Entertainment</t>
        </is>
      </c>
      <c r="C91" t="inlineStr">
        <is>
          <t>FY2025</t>
        </is>
      </c>
      <c r="D91" s="14" t="n">
        <v>267190.19</v>
      </c>
    </row>
    <row r="92">
      <c r="A92" t="inlineStr">
        <is>
          <t>9098-0558 QI</t>
        </is>
      </c>
      <c r="B92" t="inlineStr">
        <is>
          <t>Amortization</t>
        </is>
      </c>
      <c r="C92" t="inlineStr">
        <is>
          <t>FY2025</t>
        </is>
      </c>
      <c r="D92" s="14" t="n">
        <v>15416</v>
      </c>
    </row>
    <row r="93">
      <c r="A93" t="inlineStr">
        <is>
          <t>9098-0558 QI</t>
        </is>
      </c>
      <c r="B93" t="inlineStr">
        <is>
          <t>Income Tax</t>
        </is>
      </c>
      <c r="C93" t="inlineStr">
        <is>
          <t>FY2025</t>
        </is>
      </c>
      <c r="D93" s="14" t="n">
        <v>0</v>
      </c>
    </row>
    <row r="94">
      <c r="A94" t="inlineStr">
        <is>
          <t>9504-7510 QI</t>
        </is>
      </c>
      <c r="B94" t="inlineStr">
        <is>
          <t>Operating Revenue</t>
        </is>
      </c>
      <c r="C94" t="inlineStr">
        <is>
          <t>FY2025</t>
        </is>
      </c>
      <c r="D94" s="14" t="n">
        <v>-1276087.3</v>
      </c>
    </row>
    <row r="95">
      <c r="A95" t="inlineStr">
        <is>
          <t>9504-7510 QI</t>
        </is>
      </c>
      <c r="B95" t="inlineStr">
        <is>
          <t>Management Fees (Interco)</t>
        </is>
      </c>
      <c r="C95" t="inlineStr">
        <is>
          <t>FY2025</t>
        </is>
      </c>
      <c r="D95" s="14" t="n">
        <v>-36500</v>
      </c>
    </row>
    <row r="96">
      <c r="A96" t="inlineStr">
        <is>
          <t>9504-7510 QI</t>
        </is>
      </c>
      <c r="B96" t="inlineStr">
        <is>
          <t>COGS</t>
        </is>
      </c>
      <c r="C96" t="inlineStr">
        <is>
          <t>FY2025</t>
        </is>
      </c>
      <c r="D96" s="14" t="n">
        <v>457414.95</v>
      </c>
    </row>
    <row r="97">
      <c r="A97" t="inlineStr">
        <is>
          <t>9504-7510 QI</t>
        </is>
      </c>
      <c r="B97" t="inlineStr">
        <is>
          <t>Other Operating</t>
        </is>
      </c>
      <c r="C97" t="inlineStr">
        <is>
          <t>FY2025</t>
        </is>
      </c>
      <c r="D97" s="14" t="n">
        <v>29287.87</v>
      </c>
    </row>
    <row r="98">
      <c r="A98" t="inlineStr">
        <is>
          <t>9504-7510 QI</t>
        </is>
      </c>
      <c r="B98" t="inlineStr">
        <is>
          <t>Payroll &amp; Benefits</t>
        </is>
      </c>
      <c r="C98" t="inlineStr">
        <is>
          <t>FY2025</t>
        </is>
      </c>
      <c r="D98" s="14" t="n">
        <v>682935.3</v>
      </c>
    </row>
    <row r="99">
      <c r="A99" t="inlineStr">
        <is>
          <t>9504-7510 QI</t>
        </is>
      </c>
      <c r="B99" t="inlineStr">
        <is>
          <t>Administrative</t>
        </is>
      </c>
      <c r="C99" t="inlineStr">
        <is>
          <t>FY2025</t>
        </is>
      </c>
      <c r="D99" s="14" t="n">
        <v>119684.05</v>
      </c>
    </row>
    <row r="100">
      <c r="A100" t="inlineStr">
        <is>
          <t>9504-7510 QI</t>
        </is>
      </c>
      <c r="B100" t="inlineStr">
        <is>
          <t>Occupancy</t>
        </is>
      </c>
      <c r="C100" t="inlineStr">
        <is>
          <t>FY2025</t>
        </is>
      </c>
      <c r="D100" s="14" t="n">
        <v>70350.57000000001</v>
      </c>
    </row>
    <row r="101">
      <c r="A101" t="inlineStr">
        <is>
          <t>9504-7510 QI</t>
        </is>
      </c>
      <c r="B101" t="inlineStr">
        <is>
          <t>Interest &amp; Financing</t>
        </is>
      </c>
      <c r="C101" t="inlineStr">
        <is>
          <t>FY2025</t>
        </is>
      </c>
      <c r="D101" s="14" t="n">
        <v>34311.46</v>
      </c>
    </row>
    <row r="102">
      <c r="A102" t="inlineStr">
        <is>
          <t>9504-7510 QI</t>
        </is>
      </c>
      <c r="B102" t="inlineStr">
        <is>
          <t>Marketing &amp; Entertainment</t>
        </is>
      </c>
      <c r="C102" t="inlineStr">
        <is>
          <t>FY2025</t>
        </is>
      </c>
      <c r="D102" s="14" t="n">
        <v>88216.50999999999</v>
      </c>
    </row>
    <row r="103">
      <c r="A103" t="inlineStr">
        <is>
          <t>9504-7510 QI</t>
        </is>
      </c>
      <c r="B103" t="inlineStr">
        <is>
          <t>Repairs &amp; Maintenance</t>
        </is>
      </c>
      <c r="C103" t="inlineStr">
        <is>
          <t>FY2025</t>
        </is>
      </c>
      <c r="D103" s="14" t="n">
        <v>85236.12</v>
      </c>
    </row>
    <row r="104">
      <c r="A104" t="inlineStr">
        <is>
          <t>9504-7510 QI</t>
        </is>
      </c>
      <c r="B104" t="inlineStr">
        <is>
          <t>Amortization</t>
        </is>
      </c>
      <c r="C104" t="inlineStr">
        <is>
          <t>FY2025</t>
        </is>
      </c>
      <c r="D104" s="14" t="n">
        <v>75734</v>
      </c>
    </row>
    <row r="105">
      <c r="A105" t="inlineStr">
        <is>
          <t>2749-8567 QI</t>
        </is>
      </c>
      <c r="B105" t="inlineStr">
        <is>
          <t>Other Operating</t>
        </is>
      </c>
      <c r="C105" t="inlineStr">
        <is>
          <t>FY2025</t>
        </is>
      </c>
      <c r="D105" s="14" t="n">
        <v>-90757.8</v>
      </c>
    </row>
    <row r="106">
      <c r="A106" t="inlineStr">
        <is>
          <t>2749-8567 QI</t>
        </is>
      </c>
      <c r="B106" t="inlineStr">
        <is>
          <t>Administrative</t>
        </is>
      </c>
      <c r="C106" t="inlineStr">
        <is>
          <t>FY2025</t>
        </is>
      </c>
      <c r="D106" s="14" t="n">
        <v>7991.46</v>
      </c>
    </row>
    <row r="107">
      <c r="A107" t="inlineStr">
        <is>
          <t>2749-8567 QI</t>
        </is>
      </c>
      <c r="B107" t="inlineStr">
        <is>
          <t>Management Fees (Interco)</t>
        </is>
      </c>
      <c r="C107" t="inlineStr">
        <is>
          <t>FY2025</t>
        </is>
      </c>
      <c r="D107" s="14" t="n">
        <v>36000</v>
      </c>
    </row>
    <row r="108">
      <c r="A108" t="inlineStr">
        <is>
          <t>2749-8567 QI</t>
        </is>
      </c>
      <c r="B108" t="inlineStr">
        <is>
          <t>Interest &amp; Financing</t>
        </is>
      </c>
      <c r="C108" t="inlineStr">
        <is>
          <t>FY2025</t>
        </is>
      </c>
      <c r="D108" s="14" t="n">
        <v>461.73</v>
      </c>
    </row>
    <row r="109">
      <c r="A109" t="inlineStr">
        <is>
          <t>2749-8567 QI</t>
        </is>
      </c>
      <c r="B109" t="inlineStr">
        <is>
          <t>Repairs &amp; Maintenance</t>
        </is>
      </c>
      <c r="C109" t="inlineStr">
        <is>
          <t>FY2025</t>
        </is>
      </c>
      <c r="D109" s="14" t="n">
        <v>194.47</v>
      </c>
    </row>
    <row r="110">
      <c r="A110" t="inlineStr">
        <is>
          <t>2749-8567 QI</t>
        </is>
      </c>
      <c r="B110" t="inlineStr">
        <is>
          <t>Amortization</t>
        </is>
      </c>
      <c r="C110" t="inlineStr">
        <is>
          <t>FY2025</t>
        </is>
      </c>
      <c r="D110" s="14" t="n">
        <v>20030</v>
      </c>
    </row>
    <row r="111">
      <c r="A111" t="inlineStr">
        <is>
          <t>2749-8567 QI</t>
        </is>
      </c>
      <c r="B111" t="inlineStr">
        <is>
          <t>Income Tax</t>
        </is>
      </c>
      <c r="C111" t="inlineStr">
        <is>
          <t>FY2025</t>
        </is>
      </c>
      <c r="D111" s="14" t="n">
        <v>4196</v>
      </c>
    </row>
    <row r="112">
      <c r="A112" t="inlineStr">
        <is>
          <t>N/A</t>
        </is>
      </c>
      <c r="B112" t="inlineStr">
        <is>
          <t>Operating Revenue</t>
        </is>
      </c>
      <c r="C112" t="inlineStr">
        <is>
          <t>FY2025</t>
        </is>
      </c>
      <c r="D112" s="14" t="n">
        <v>-72000</v>
      </c>
    </row>
    <row r="113">
      <c r="A113" t="inlineStr">
        <is>
          <t>N/A</t>
        </is>
      </c>
      <c r="B113" t="inlineStr">
        <is>
          <t>Administrative</t>
        </is>
      </c>
      <c r="C113" t="inlineStr">
        <is>
          <t>FY2025</t>
        </is>
      </c>
      <c r="D113" s="14" t="n">
        <v>74011.82000000001</v>
      </c>
    </row>
    <row r="114">
      <c r="A114" t="inlineStr">
        <is>
          <t>N/A</t>
        </is>
      </c>
      <c r="B114" t="inlineStr">
        <is>
          <t>Interest &amp; Financing</t>
        </is>
      </c>
      <c r="C114" t="inlineStr">
        <is>
          <t>FY2025</t>
        </is>
      </c>
      <c r="D114" s="14" t="n">
        <v>3002.35</v>
      </c>
    </row>
    <row r="115">
      <c r="A115" t="inlineStr">
        <is>
          <t>N/A</t>
        </is>
      </c>
      <c r="B115" t="inlineStr">
        <is>
          <t>Amortization</t>
        </is>
      </c>
      <c r="C115" t="inlineStr">
        <is>
          <t>FY2025</t>
        </is>
      </c>
      <c r="D115" s="14" t="n">
        <v>10807</v>
      </c>
    </row>
    <row r="116">
      <c r="A116" t="inlineStr">
        <is>
          <t>N/A</t>
        </is>
      </c>
      <c r="B116" t="inlineStr">
        <is>
          <t>Interest &amp; Financing</t>
        </is>
      </c>
      <c r="C116" t="inlineStr">
        <is>
          <t>FY2025</t>
        </is>
      </c>
      <c r="D116" s="14" t="n">
        <v>10</v>
      </c>
    </row>
    <row r="117">
      <c r="A117" t="inlineStr">
        <is>
          <t>N/A</t>
        </is>
      </c>
      <c r="B117" t="inlineStr">
        <is>
          <t>Interest &amp; Financing</t>
        </is>
      </c>
      <c r="C117" t="inlineStr">
        <is>
          <t>FY2025</t>
        </is>
      </c>
      <c r="D117" s="14" t="n">
        <v>4</v>
      </c>
    </row>
    <row r="118">
      <c r="A118" t="inlineStr">
        <is>
          <t>9357-7427 QI</t>
        </is>
      </c>
      <c r="B118" t="inlineStr">
        <is>
          <t>Payroll &amp; Benefits</t>
        </is>
      </c>
      <c r="C118" t="inlineStr">
        <is>
          <t>FY2024</t>
        </is>
      </c>
      <c r="D118" s="14" t="n">
        <v>358.94</v>
      </c>
    </row>
    <row r="119">
      <c r="A119" t="inlineStr">
        <is>
          <t>9357-7427 QI</t>
        </is>
      </c>
      <c r="B119" t="inlineStr">
        <is>
          <t>Administrative</t>
        </is>
      </c>
      <c r="C119" t="inlineStr">
        <is>
          <t>FY2024</t>
        </is>
      </c>
      <c r="D119" s="14" t="n">
        <v>2329</v>
      </c>
    </row>
    <row r="120">
      <c r="A120" t="inlineStr">
        <is>
          <t>9357-7427 QI</t>
        </is>
      </c>
      <c r="B120" t="inlineStr">
        <is>
          <t>Interest &amp; Financing</t>
        </is>
      </c>
      <c r="C120" t="inlineStr">
        <is>
          <t>FY2024</t>
        </is>
      </c>
      <c r="D120" s="14" t="n">
        <v>47.81</v>
      </c>
    </row>
    <row r="121">
      <c r="A121" t="inlineStr">
        <is>
          <t>9366-1676 QI</t>
        </is>
      </c>
      <c r="B121" t="inlineStr">
        <is>
          <t>Operating Revenue</t>
        </is>
      </c>
      <c r="C121" t="inlineStr">
        <is>
          <t>FY2024</t>
        </is>
      </c>
      <c r="D121" s="14" t="n">
        <v>-188197.75</v>
      </c>
    </row>
    <row r="122">
      <c r="A122" t="inlineStr">
        <is>
          <t>9366-1676 QI</t>
        </is>
      </c>
      <c r="B122" t="inlineStr">
        <is>
          <t>Administrative</t>
        </is>
      </c>
      <c r="C122" t="inlineStr">
        <is>
          <t>FY2024</t>
        </is>
      </c>
      <c r="D122" s="14" t="n">
        <v>152117.58</v>
      </c>
    </row>
    <row r="123">
      <c r="A123" t="inlineStr">
        <is>
          <t>9366-1676 QI</t>
        </is>
      </c>
      <c r="B123" t="inlineStr">
        <is>
          <t>Occupancy</t>
        </is>
      </c>
      <c r="C123" t="inlineStr">
        <is>
          <t>FY2024</t>
        </is>
      </c>
      <c r="D123" s="14" t="n">
        <v>16431.97</v>
      </c>
    </row>
    <row r="124">
      <c r="A124" t="inlineStr">
        <is>
          <t>9366-1676 QI</t>
        </is>
      </c>
      <c r="B124" t="inlineStr">
        <is>
          <t>Interest &amp; Financing</t>
        </is>
      </c>
      <c r="C124" t="inlineStr">
        <is>
          <t>FY2024</t>
        </is>
      </c>
      <c r="D124" s="14" t="n">
        <v>219534.62</v>
      </c>
    </row>
    <row r="125">
      <c r="A125" t="inlineStr">
        <is>
          <t>9366-1676 QI</t>
        </is>
      </c>
      <c r="B125" t="inlineStr">
        <is>
          <t>Repairs &amp; Maintenance</t>
        </is>
      </c>
      <c r="C125" t="inlineStr">
        <is>
          <t>FY2024</t>
        </is>
      </c>
      <c r="D125" s="14" t="n">
        <v>0</v>
      </c>
    </row>
    <row r="126">
      <c r="A126" t="inlineStr">
        <is>
          <t>9366-1676 QI</t>
        </is>
      </c>
      <c r="B126" t="inlineStr">
        <is>
          <t>Amortization</t>
        </is>
      </c>
      <c r="C126" t="inlineStr">
        <is>
          <t>FY2024</t>
        </is>
      </c>
      <c r="D126" s="14" t="n">
        <v>94472</v>
      </c>
    </row>
    <row r="127">
      <c r="A127" t="inlineStr">
        <is>
          <t>9425-4547 QI</t>
        </is>
      </c>
      <c r="B127" t="inlineStr">
        <is>
          <t>Operating Revenue</t>
        </is>
      </c>
      <c r="C127" t="inlineStr">
        <is>
          <t>FY2024</t>
        </is>
      </c>
      <c r="D127" s="14" t="n">
        <v>-247975</v>
      </c>
    </row>
    <row r="128">
      <c r="A128" t="inlineStr">
        <is>
          <t>9425-4547 QI</t>
        </is>
      </c>
      <c r="B128" t="inlineStr">
        <is>
          <t>Investment &amp; Other Income</t>
        </is>
      </c>
      <c r="C128" t="inlineStr">
        <is>
          <t>FY2024</t>
        </is>
      </c>
      <c r="D128" s="14" t="n">
        <v>-62108.84</v>
      </c>
    </row>
    <row r="129">
      <c r="A129" t="inlineStr">
        <is>
          <t>9425-4547 QI</t>
        </is>
      </c>
      <c r="B129" t="inlineStr">
        <is>
          <t>Administrative</t>
        </is>
      </c>
      <c r="C129" t="inlineStr">
        <is>
          <t>FY2024</t>
        </is>
      </c>
      <c r="D129" s="14" t="n">
        <v>84635.60000000001</v>
      </c>
    </row>
    <row r="130">
      <c r="A130" t="inlineStr">
        <is>
          <t>9425-4547 QI</t>
        </is>
      </c>
      <c r="B130" t="inlineStr">
        <is>
          <t>Occupancy</t>
        </is>
      </c>
      <c r="C130" t="inlineStr">
        <is>
          <t>FY2024</t>
        </is>
      </c>
      <c r="D130" s="14" t="n">
        <v>6455.93</v>
      </c>
    </row>
    <row r="131">
      <c r="A131" t="inlineStr">
        <is>
          <t>9425-4547 QI</t>
        </is>
      </c>
      <c r="B131" t="inlineStr">
        <is>
          <t>Interest &amp; Financing</t>
        </is>
      </c>
      <c r="C131" t="inlineStr">
        <is>
          <t>FY2024</t>
        </is>
      </c>
      <c r="D131" s="14" t="n">
        <v>108814.51</v>
      </c>
    </row>
    <row r="132">
      <c r="A132" t="inlineStr">
        <is>
          <t>9425-4547 QI</t>
        </is>
      </c>
      <c r="B132" t="inlineStr">
        <is>
          <t>Amortization</t>
        </is>
      </c>
      <c r="C132" t="inlineStr">
        <is>
          <t>FY2024</t>
        </is>
      </c>
      <c r="D132" s="14" t="n">
        <v>15473</v>
      </c>
    </row>
    <row r="133">
      <c r="A133" t="inlineStr">
        <is>
          <t>9425-4547 QI</t>
        </is>
      </c>
      <c r="B133" t="inlineStr">
        <is>
          <t>Income Tax</t>
        </is>
      </c>
      <c r="C133" t="inlineStr">
        <is>
          <t>FY2024</t>
        </is>
      </c>
      <c r="D133" s="14" t="n">
        <v>13363</v>
      </c>
    </row>
    <row r="134">
      <c r="A134" t="inlineStr">
        <is>
          <t>9455-4177 QI</t>
        </is>
      </c>
      <c r="B134" t="inlineStr">
        <is>
          <t>Administrative</t>
        </is>
      </c>
      <c r="C134" t="inlineStr">
        <is>
          <t>FY2024</t>
        </is>
      </c>
      <c r="D134" s="14" t="n">
        <v>2797</v>
      </c>
    </row>
    <row r="135">
      <c r="A135" t="inlineStr">
        <is>
          <t>9455-4177 QI</t>
        </is>
      </c>
      <c r="B135" t="inlineStr">
        <is>
          <t>Interest &amp; Financing</t>
        </is>
      </c>
      <c r="C135" t="inlineStr">
        <is>
          <t>FY2024</t>
        </is>
      </c>
      <c r="D135" s="14" t="n">
        <v>148.11</v>
      </c>
    </row>
    <row r="136">
      <c r="A136" t="inlineStr">
        <is>
          <t>9455-4169 QI</t>
        </is>
      </c>
      <c r="B136" t="inlineStr">
        <is>
          <t>Administrative</t>
        </is>
      </c>
      <c r="C136" t="inlineStr">
        <is>
          <t>FY2024</t>
        </is>
      </c>
      <c r="D136" s="14" t="n">
        <v>3085</v>
      </c>
    </row>
    <row r="137">
      <c r="A137" t="inlineStr">
        <is>
          <t>9455-4169 QI</t>
        </is>
      </c>
      <c r="B137" t="inlineStr">
        <is>
          <t>Interest &amp; Financing</t>
        </is>
      </c>
      <c r="C137" t="inlineStr">
        <is>
          <t>FY2024</t>
        </is>
      </c>
      <c r="D137" s="14" t="n">
        <v>163.14</v>
      </c>
    </row>
    <row r="138">
      <c r="A138" t="inlineStr">
        <is>
          <t>9455-4201 QI</t>
        </is>
      </c>
      <c r="B138" t="inlineStr">
        <is>
          <t>Investment &amp; Other Income</t>
        </is>
      </c>
      <c r="C138" t="inlineStr">
        <is>
          <t>FY2024</t>
        </is>
      </c>
      <c r="D138" s="14" t="n">
        <v>-1569420.99</v>
      </c>
    </row>
    <row r="139">
      <c r="A139" t="inlineStr">
        <is>
          <t>9455-4201 QI</t>
        </is>
      </c>
      <c r="B139" t="inlineStr">
        <is>
          <t>Administrative</t>
        </is>
      </c>
      <c r="C139" t="inlineStr">
        <is>
          <t>FY2024</t>
        </is>
      </c>
      <c r="D139" s="14" t="n">
        <v>2956</v>
      </c>
    </row>
    <row r="140">
      <c r="A140" t="inlineStr">
        <is>
          <t>9455-4201 QI</t>
        </is>
      </c>
      <c r="B140" t="inlineStr">
        <is>
          <t>Interest &amp; Financing</t>
        </is>
      </c>
      <c r="C140" t="inlineStr">
        <is>
          <t>FY2024</t>
        </is>
      </c>
      <c r="D140" s="14" t="n">
        <v>79366.3</v>
      </c>
    </row>
    <row r="141">
      <c r="A141" t="inlineStr">
        <is>
          <t>9108-6876 QI</t>
        </is>
      </c>
      <c r="B141" t="inlineStr">
        <is>
          <t>Operating Revenue</t>
        </is>
      </c>
      <c r="C141" t="inlineStr">
        <is>
          <t>FY2024</t>
        </is>
      </c>
      <c r="D141" s="14" t="n">
        <v>-2123731.69</v>
      </c>
    </row>
    <row r="142">
      <c r="A142" t="inlineStr">
        <is>
          <t>9108-6876 QI</t>
        </is>
      </c>
      <c r="B142" t="inlineStr">
        <is>
          <t>Payroll &amp; Benefits</t>
        </is>
      </c>
      <c r="C142" t="inlineStr">
        <is>
          <t>FY2024</t>
        </is>
      </c>
      <c r="D142" s="14" t="n">
        <v>528052.08</v>
      </c>
    </row>
    <row r="143">
      <c r="A143" t="inlineStr">
        <is>
          <t>9108-6876 QI</t>
        </is>
      </c>
      <c r="B143" t="inlineStr">
        <is>
          <t>Administrative</t>
        </is>
      </c>
      <c r="C143" t="inlineStr">
        <is>
          <t>FY2024</t>
        </is>
      </c>
      <c r="D143" s="14" t="n">
        <v>146015.91</v>
      </c>
    </row>
    <row r="144">
      <c r="A144" t="inlineStr">
        <is>
          <t>9108-6876 QI</t>
        </is>
      </c>
      <c r="B144" t="inlineStr">
        <is>
          <t>Management Fees (Interco)</t>
        </is>
      </c>
      <c r="C144" t="inlineStr">
        <is>
          <t>FY2024</t>
        </is>
      </c>
      <c r="D144" s="14" t="n">
        <v>398.98</v>
      </c>
    </row>
    <row r="145">
      <c r="A145" t="inlineStr">
        <is>
          <t>9108-6876 QI</t>
        </is>
      </c>
      <c r="B145" t="inlineStr">
        <is>
          <t>Occupancy</t>
        </is>
      </c>
      <c r="C145" t="inlineStr">
        <is>
          <t>FY2024</t>
        </is>
      </c>
      <c r="D145" s="14" t="n">
        <v>262708.89</v>
      </c>
    </row>
    <row r="146">
      <c r="A146" t="inlineStr">
        <is>
          <t>9108-6876 QI</t>
        </is>
      </c>
      <c r="B146" t="inlineStr">
        <is>
          <t>Other Operating</t>
        </is>
      </c>
      <c r="C146" t="inlineStr">
        <is>
          <t>FY2024</t>
        </is>
      </c>
      <c r="D146" s="14" t="n">
        <v>93057.11</v>
      </c>
    </row>
    <row r="147">
      <c r="A147" t="inlineStr">
        <is>
          <t>9108-6876 QI</t>
        </is>
      </c>
      <c r="B147" t="inlineStr">
        <is>
          <t>Interest &amp; Financing</t>
        </is>
      </c>
      <c r="C147" t="inlineStr">
        <is>
          <t>FY2024</t>
        </is>
      </c>
      <c r="D147" s="14" t="n">
        <v>95218.77</v>
      </c>
    </row>
    <row r="148">
      <c r="A148" t="inlineStr">
        <is>
          <t>9108-6876 QI</t>
        </is>
      </c>
      <c r="B148" t="inlineStr">
        <is>
          <t>Marketing &amp; Entertainment</t>
        </is>
      </c>
      <c r="C148" t="inlineStr">
        <is>
          <t>FY2024</t>
        </is>
      </c>
      <c r="D148" s="14" t="n">
        <v>263448.71</v>
      </c>
    </row>
    <row r="149">
      <c r="A149" t="inlineStr">
        <is>
          <t>9108-6876 QI</t>
        </is>
      </c>
      <c r="B149" t="inlineStr">
        <is>
          <t>Repairs &amp; Maintenance</t>
        </is>
      </c>
      <c r="C149" t="inlineStr">
        <is>
          <t>FY2024</t>
        </is>
      </c>
      <c r="D149" s="14" t="n">
        <v>259227.76</v>
      </c>
    </row>
    <row r="150">
      <c r="A150" t="inlineStr">
        <is>
          <t>9108-6876 QI</t>
        </is>
      </c>
      <c r="B150" t="inlineStr">
        <is>
          <t>Amortization</t>
        </is>
      </c>
      <c r="C150" t="inlineStr">
        <is>
          <t>FY2024</t>
        </is>
      </c>
      <c r="D150" s="14" t="n">
        <v>195095</v>
      </c>
    </row>
    <row r="151">
      <c r="A151" t="inlineStr">
        <is>
          <t>9108-6876 QI</t>
        </is>
      </c>
      <c r="B151" t="inlineStr">
        <is>
          <t>COGS</t>
        </is>
      </c>
      <c r="C151" t="inlineStr">
        <is>
          <t>FY2024</t>
        </is>
      </c>
      <c r="D151" s="14" t="n">
        <v>116416.16</v>
      </c>
    </row>
    <row r="152">
      <c r="A152" t="inlineStr">
        <is>
          <t>9108-6876 QI</t>
        </is>
      </c>
      <c r="B152" t="inlineStr">
        <is>
          <t>Income Tax</t>
        </is>
      </c>
      <c r="C152" t="inlineStr">
        <is>
          <t>FY2024</t>
        </is>
      </c>
      <c r="D152" s="14" t="n">
        <v>0</v>
      </c>
    </row>
    <row r="153">
      <c r="A153" t="inlineStr">
        <is>
          <t>N/A</t>
        </is>
      </c>
      <c r="B153" t="inlineStr">
        <is>
          <t>Operating Revenue</t>
        </is>
      </c>
      <c r="C153" t="inlineStr">
        <is>
          <t>FY2024</t>
        </is>
      </c>
      <c r="D153" s="14" t="n">
        <v>0</v>
      </c>
    </row>
    <row r="154">
      <c r="A154" t="inlineStr">
        <is>
          <t>N/A</t>
        </is>
      </c>
      <c r="B154" t="inlineStr">
        <is>
          <t>Management Fees (Interco)</t>
        </is>
      </c>
      <c r="C154" t="inlineStr">
        <is>
          <t>FY2024</t>
        </is>
      </c>
      <c r="D154" s="14" t="n">
        <v>-25000</v>
      </c>
    </row>
    <row r="155">
      <c r="A155" t="inlineStr">
        <is>
          <t>N/A</t>
        </is>
      </c>
      <c r="B155" t="inlineStr">
        <is>
          <t>COGS</t>
        </is>
      </c>
      <c r="C155" t="inlineStr">
        <is>
          <t>FY2024</t>
        </is>
      </c>
      <c r="D155" s="14" t="n">
        <v>0</v>
      </c>
    </row>
    <row r="156">
      <c r="A156" t="inlineStr">
        <is>
          <t>N/A</t>
        </is>
      </c>
      <c r="B156" t="inlineStr">
        <is>
          <t>Other Operating</t>
        </is>
      </c>
      <c r="C156" t="inlineStr">
        <is>
          <t>FY2024</t>
        </is>
      </c>
      <c r="D156" s="14" t="n">
        <v>0</v>
      </c>
    </row>
    <row r="157">
      <c r="A157" t="inlineStr">
        <is>
          <t>N/A</t>
        </is>
      </c>
      <c r="B157" t="inlineStr">
        <is>
          <t>Payroll &amp; Benefits</t>
        </is>
      </c>
      <c r="C157" t="inlineStr">
        <is>
          <t>FY2024</t>
        </is>
      </c>
      <c r="D157" s="14" t="n">
        <v>0</v>
      </c>
    </row>
    <row r="158">
      <c r="A158" t="inlineStr">
        <is>
          <t>N/A</t>
        </is>
      </c>
      <c r="B158" t="inlineStr">
        <is>
          <t>Administrative</t>
        </is>
      </c>
      <c r="C158" t="inlineStr">
        <is>
          <t>FY2024</t>
        </is>
      </c>
      <c r="D158" s="14" t="n">
        <v>11691.11</v>
      </c>
    </row>
    <row r="159">
      <c r="A159" t="inlineStr">
        <is>
          <t>N/A</t>
        </is>
      </c>
      <c r="B159" t="inlineStr">
        <is>
          <t>Occupancy</t>
        </is>
      </c>
      <c r="C159" t="inlineStr">
        <is>
          <t>FY2024</t>
        </is>
      </c>
      <c r="D159" s="14" t="n">
        <v>2978.98</v>
      </c>
    </row>
    <row r="160">
      <c r="A160" t="inlineStr">
        <is>
          <t>N/A</t>
        </is>
      </c>
      <c r="B160" t="inlineStr">
        <is>
          <t>Marketing &amp; Entertainment</t>
        </is>
      </c>
      <c r="C160" t="inlineStr">
        <is>
          <t>FY2024</t>
        </is>
      </c>
      <c r="D160" s="14" t="n">
        <v>31.2</v>
      </c>
    </row>
    <row r="161">
      <c r="A161" t="inlineStr">
        <is>
          <t>N/A</t>
        </is>
      </c>
      <c r="B161" t="inlineStr">
        <is>
          <t>Repairs &amp; Maintenance</t>
        </is>
      </c>
      <c r="C161" t="inlineStr">
        <is>
          <t>FY2024</t>
        </is>
      </c>
      <c r="D161" s="14" t="n">
        <v>1405.28</v>
      </c>
    </row>
    <row r="162">
      <c r="A162" t="inlineStr">
        <is>
          <t>N/A</t>
        </is>
      </c>
      <c r="B162" t="inlineStr">
        <is>
          <t>Amortization</t>
        </is>
      </c>
      <c r="C162" t="inlineStr">
        <is>
          <t>FY2024</t>
        </is>
      </c>
      <c r="D162" s="14" t="n">
        <v>0</v>
      </c>
    </row>
    <row r="163">
      <c r="A163" t="inlineStr">
        <is>
          <t>N/A</t>
        </is>
      </c>
      <c r="B163" t="inlineStr">
        <is>
          <t>Interest &amp; Financing</t>
        </is>
      </c>
      <c r="C163" t="inlineStr">
        <is>
          <t>FY2024</t>
        </is>
      </c>
      <c r="D163" s="14" t="n">
        <v>353.66</v>
      </c>
    </row>
    <row r="164">
      <c r="A164" t="inlineStr">
        <is>
          <t>9096-0436 QI</t>
        </is>
      </c>
      <c r="B164" t="inlineStr">
        <is>
          <t>Operating Revenue</t>
        </is>
      </c>
      <c r="C164" t="inlineStr">
        <is>
          <t>FY2024</t>
        </is>
      </c>
      <c r="D164" s="14" t="n">
        <v>-252814.41</v>
      </c>
    </row>
    <row r="165">
      <c r="A165" t="inlineStr">
        <is>
          <t>9096-0436 QI</t>
        </is>
      </c>
      <c r="B165" t="inlineStr">
        <is>
          <t>COGS</t>
        </is>
      </c>
      <c r="C165" t="inlineStr">
        <is>
          <t>FY2024</t>
        </is>
      </c>
      <c r="D165" s="14" t="n">
        <v>42360.83</v>
      </c>
    </row>
    <row r="166">
      <c r="A166" t="inlineStr">
        <is>
          <t>9096-0436 QI</t>
        </is>
      </c>
      <c r="B166" t="inlineStr">
        <is>
          <t>Other Operating</t>
        </is>
      </c>
      <c r="C166" t="inlineStr">
        <is>
          <t>FY2024</t>
        </is>
      </c>
      <c r="D166" s="14" t="n">
        <v>25803.7</v>
      </c>
    </row>
    <row r="167">
      <c r="A167" t="inlineStr">
        <is>
          <t>9096-0436 QI</t>
        </is>
      </c>
      <c r="B167" t="inlineStr">
        <is>
          <t>Payroll &amp; Benefits</t>
        </is>
      </c>
      <c r="C167" t="inlineStr">
        <is>
          <t>FY2024</t>
        </is>
      </c>
      <c r="D167" s="14" t="n">
        <v>94213.14999999999</v>
      </c>
    </row>
    <row r="168">
      <c r="A168" t="inlineStr">
        <is>
          <t>9096-0436 QI</t>
        </is>
      </c>
      <c r="B168" t="inlineStr">
        <is>
          <t>Administrative</t>
        </is>
      </c>
      <c r="C168" t="inlineStr">
        <is>
          <t>FY2024</t>
        </is>
      </c>
      <c r="D168" s="14" t="n">
        <v>39485.9</v>
      </c>
    </row>
    <row r="169">
      <c r="A169" t="inlineStr">
        <is>
          <t>9096-0436 QI</t>
        </is>
      </c>
      <c r="B169" t="inlineStr">
        <is>
          <t>Occupancy</t>
        </is>
      </c>
      <c r="C169" t="inlineStr">
        <is>
          <t>FY2024</t>
        </is>
      </c>
      <c r="D169" s="14" t="n">
        <v>84280.23</v>
      </c>
    </row>
    <row r="170">
      <c r="A170" t="inlineStr">
        <is>
          <t>9096-0436 QI</t>
        </is>
      </c>
      <c r="B170" t="inlineStr">
        <is>
          <t>Interest &amp; Financing</t>
        </is>
      </c>
      <c r="C170" t="inlineStr">
        <is>
          <t>FY2024</t>
        </is>
      </c>
      <c r="D170" s="14" t="n">
        <v>7661.21</v>
      </c>
    </row>
    <row r="171">
      <c r="A171" t="inlineStr">
        <is>
          <t>9096-0436 QI</t>
        </is>
      </c>
      <c r="B171" t="inlineStr">
        <is>
          <t>Marketing &amp; Entertainment</t>
        </is>
      </c>
      <c r="C171" t="inlineStr">
        <is>
          <t>FY2024</t>
        </is>
      </c>
      <c r="D171" s="14" t="n">
        <v>34771.91</v>
      </c>
    </row>
    <row r="172">
      <c r="A172" t="inlineStr">
        <is>
          <t>9096-0436 QI</t>
        </is>
      </c>
      <c r="B172" t="inlineStr">
        <is>
          <t>Repairs &amp; Maintenance</t>
        </is>
      </c>
      <c r="C172" t="inlineStr">
        <is>
          <t>FY2024</t>
        </is>
      </c>
      <c r="D172" s="14" t="n">
        <v>15237.12</v>
      </c>
    </row>
    <row r="173">
      <c r="A173" t="inlineStr">
        <is>
          <t>9096-0436 QI</t>
        </is>
      </c>
      <c r="B173" t="inlineStr">
        <is>
          <t>Amortization</t>
        </is>
      </c>
      <c r="C173" t="inlineStr">
        <is>
          <t>FY2024</t>
        </is>
      </c>
      <c r="D173" s="14" t="n">
        <v>3214</v>
      </c>
    </row>
    <row r="174">
      <c r="A174" t="inlineStr">
        <is>
          <t>9096-0436 QI</t>
        </is>
      </c>
      <c r="B174" t="inlineStr">
        <is>
          <t>Management Fees (Interco)</t>
        </is>
      </c>
      <c r="C174" t="inlineStr">
        <is>
          <t>FY2024</t>
        </is>
      </c>
      <c r="D174" s="14" t="n">
        <v>-105000</v>
      </c>
    </row>
    <row r="175">
      <c r="A175" t="inlineStr">
        <is>
          <t>9096-0436 QI</t>
        </is>
      </c>
      <c r="B175" t="inlineStr">
        <is>
          <t>Income Tax</t>
        </is>
      </c>
      <c r="C175" t="inlineStr">
        <is>
          <t>FY2024</t>
        </is>
      </c>
      <c r="D175" s="14" t="n">
        <v>1145</v>
      </c>
    </row>
    <row r="176">
      <c r="A176" t="inlineStr">
        <is>
          <t>9525-2854 QI</t>
        </is>
      </c>
      <c r="B176" t="inlineStr">
        <is>
          <t>Operating Revenue</t>
        </is>
      </c>
      <c r="C176" t="inlineStr">
        <is>
          <t>FY2024</t>
        </is>
      </c>
      <c r="D176" s="14" t="n">
        <v>0</v>
      </c>
    </row>
    <row r="177">
      <c r="A177" t="inlineStr">
        <is>
          <t>9525-2854 QI</t>
        </is>
      </c>
      <c r="B177" t="inlineStr">
        <is>
          <t>COGS</t>
        </is>
      </c>
      <c r="C177" t="inlineStr">
        <is>
          <t>FY2024</t>
        </is>
      </c>
      <c r="D177" s="14" t="n">
        <v>0</v>
      </c>
    </row>
    <row r="178">
      <c r="A178" t="inlineStr">
        <is>
          <t>9525-2854 QI</t>
        </is>
      </c>
      <c r="B178" t="inlineStr">
        <is>
          <t>Other Operating</t>
        </is>
      </c>
      <c r="C178" t="inlineStr">
        <is>
          <t>FY2024</t>
        </is>
      </c>
      <c r="D178" s="14" t="n">
        <v>0</v>
      </c>
    </row>
    <row r="179">
      <c r="A179" t="inlineStr">
        <is>
          <t>9525-2854 QI</t>
        </is>
      </c>
      <c r="B179" t="inlineStr">
        <is>
          <t>Payroll &amp; Benefits</t>
        </is>
      </c>
      <c r="C179" t="inlineStr">
        <is>
          <t>FY2024</t>
        </is>
      </c>
      <c r="D179" s="14" t="n">
        <v>0</v>
      </c>
    </row>
    <row r="180">
      <c r="A180" t="inlineStr">
        <is>
          <t>9525-2854 QI</t>
        </is>
      </c>
      <c r="B180" t="inlineStr">
        <is>
          <t>Administrative</t>
        </is>
      </c>
      <c r="C180" t="inlineStr">
        <is>
          <t>FY2024</t>
        </is>
      </c>
      <c r="D180" s="14" t="n">
        <v>0</v>
      </c>
    </row>
    <row r="181">
      <c r="A181" t="inlineStr">
        <is>
          <t>9525-2854 QI</t>
        </is>
      </c>
      <c r="B181" t="inlineStr">
        <is>
          <t>Occupancy</t>
        </is>
      </c>
      <c r="C181" t="inlineStr">
        <is>
          <t>FY2024</t>
        </is>
      </c>
      <c r="D181" s="14" t="n">
        <v>0</v>
      </c>
    </row>
    <row r="182">
      <c r="A182" t="inlineStr">
        <is>
          <t>9525-2854 QI</t>
        </is>
      </c>
      <c r="B182" t="inlineStr">
        <is>
          <t>Interest &amp; Financing</t>
        </is>
      </c>
      <c r="C182" t="inlineStr">
        <is>
          <t>FY2024</t>
        </is>
      </c>
      <c r="D182" s="14" t="n">
        <v>0</v>
      </c>
    </row>
    <row r="183">
      <c r="A183" t="inlineStr">
        <is>
          <t>9525-2854 QI</t>
        </is>
      </c>
      <c r="B183" t="inlineStr">
        <is>
          <t>Marketing &amp; Entertainment</t>
        </is>
      </c>
      <c r="C183" t="inlineStr">
        <is>
          <t>FY2024</t>
        </is>
      </c>
      <c r="D183" s="14" t="n">
        <v>0</v>
      </c>
    </row>
    <row r="184">
      <c r="A184" t="inlineStr">
        <is>
          <t>9525-2854 QI</t>
        </is>
      </c>
      <c r="B184" t="inlineStr">
        <is>
          <t>Repairs &amp; Maintenance</t>
        </is>
      </c>
      <c r="C184" t="inlineStr">
        <is>
          <t>FY2024</t>
        </is>
      </c>
      <c r="D184" s="14" t="n">
        <v>0</v>
      </c>
    </row>
    <row r="185">
      <c r="A185" t="inlineStr">
        <is>
          <t>9525-2854 QI</t>
        </is>
      </c>
      <c r="B185" t="inlineStr">
        <is>
          <t>Amortization</t>
        </is>
      </c>
      <c r="C185" t="inlineStr">
        <is>
          <t>FY2024</t>
        </is>
      </c>
      <c r="D185" s="14" t="n">
        <v>0</v>
      </c>
    </row>
    <row r="186">
      <c r="A186" t="inlineStr">
        <is>
          <t>9366-1049 QI</t>
        </is>
      </c>
      <c r="B186" t="inlineStr">
        <is>
          <t>Operating Revenue</t>
        </is>
      </c>
      <c r="C186" t="inlineStr">
        <is>
          <t>FY2024</t>
        </is>
      </c>
      <c r="D186" s="14" t="n">
        <v>-3945185.2</v>
      </c>
    </row>
    <row r="187">
      <c r="A187" t="inlineStr">
        <is>
          <t>9366-1049 QI</t>
        </is>
      </c>
      <c r="B187" t="inlineStr">
        <is>
          <t>Investment &amp; Other Income</t>
        </is>
      </c>
      <c r="C187" t="inlineStr">
        <is>
          <t>FY2024</t>
        </is>
      </c>
      <c r="D187" s="14" t="n">
        <v>-483.43</v>
      </c>
    </row>
    <row r="188">
      <c r="A188" t="inlineStr">
        <is>
          <t>9366-1049 QI</t>
        </is>
      </c>
      <c r="B188" t="inlineStr">
        <is>
          <t>Administrative</t>
        </is>
      </c>
      <c r="C188" t="inlineStr">
        <is>
          <t>FY2024</t>
        </is>
      </c>
      <c r="D188" s="14" t="n">
        <v>104164.1</v>
      </c>
    </row>
    <row r="189">
      <c r="A189" t="inlineStr">
        <is>
          <t>9366-1049 QI</t>
        </is>
      </c>
      <c r="B189" t="inlineStr">
        <is>
          <t>COGS</t>
        </is>
      </c>
      <c r="C189" t="inlineStr">
        <is>
          <t>FY2024</t>
        </is>
      </c>
      <c r="D189" s="14" t="n">
        <v>1322234.96</v>
      </c>
    </row>
    <row r="190">
      <c r="A190" t="inlineStr">
        <is>
          <t>9366-1049 QI</t>
        </is>
      </c>
      <c r="B190" t="inlineStr">
        <is>
          <t>Other Operating</t>
        </is>
      </c>
      <c r="C190" t="inlineStr">
        <is>
          <t>FY2024</t>
        </is>
      </c>
      <c r="D190" s="14" t="n">
        <v>66669.21000000001</v>
      </c>
    </row>
    <row r="191">
      <c r="A191" t="inlineStr">
        <is>
          <t>9366-1049 QI</t>
        </is>
      </c>
      <c r="B191" t="inlineStr">
        <is>
          <t>Payroll &amp; Benefits</t>
        </is>
      </c>
      <c r="C191" t="inlineStr">
        <is>
          <t>FY2024</t>
        </is>
      </c>
      <c r="D191" s="14" t="n">
        <v>1410408.29</v>
      </c>
    </row>
    <row r="192">
      <c r="A192" t="inlineStr">
        <is>
          <t>9366-1049 QI</t>
        </is>
      </c>
      <c r="B192" t="inlineStr">
        <is>
          <t>Occupancy</t>
        </is>
      </c>
      <c r="C192" t="inlineStr">
        <is>
          <t>FY2024</t>
        </is>
      </c>
      <c r="D192" s="14" t="n">
        <v>204074.66</v>
      </c>
    </row>
    <row r="193">
      <c r="A193" t="inlineStr">
        <is>
          <t>9366-1049 QI</t>
        </is>
      </c>
      <c r="B193" t="inlineStr">
        <is>
          <t>Interest &amp; Financing</t>
        </is>
      </c>
      <c r="C193" t="inlineStr">
        <is>
          <t>FY2024</t>
        </is>
      </c>
      <c r="D193" s="14" t="n">
        <v>102454.37</v>
      </c>
    </row>
    <row r="194">
      <c r="A194" t="inlineStr">
        <is>
          <t>9366-1049 QI</t>
        </is>
      </c>
      <c r="B194" t="inlineStr">
        <is>
          <t>Marketing &amp; Entertainment</t>
        </is>
      </c>
      <c r="C194" t="inlineStr">
        <is>
          <t>FY2024</t>
        </is>
      </c>
      <c r="D194" s="14" t="n">
        <v>74927.98</v>
      </c>
    </row>
    <row r="195">
      <c r="A195" t="inlineStr">
        <is>
          <t>9366-1049 QI</t>
        </is>
      </c>
      <c r="B195" t="inlineStr">
        <is>
          <t>Repairs &amp; Maintenance</t>
        </is>
      </c>
      <c r="C195" t="inlineStr">
        <is>
          <t>FY2024</t>
        </is>
      </c>
      <c r="D195" s="14" t="n">
        <v>162786.02</v>
      </c>
    </row>
    <row r="196">
      <c r="A196" t="inlineStr">
        <is>
          <t>9366-1049 QI</t>
        </is>
      </c>
      <c r="B196" t="inlineStr">
        <is>
          <t>Amortization</t>
        </is>
      </c>
      <c r="C196" t="inlineStr">
        <is>
          <t>FY2024</t>
        </is>
      </c>
      <c r="D196" s="14" t="n">
        <v>75441</v>
      </c>
    </row>
    <row r="197">
      <c r="A197" t="inlineStr">
        <is>
          <t>9366-1049 QI</t>
        </is>
      </c>
      <c r="B197" t="inlineStr">
        <is>
          <t>Income Tax</t>
        </is>
      </c>
      <c r="C197" t="inlineStr">
        <is>
          <t>FY2024</t>
        </is>
      </c>
      <c r="D197" s="14" t="n">
        <v>12250</v>
      </c>
    </row>
    <row r="198">
      <c r="A198" t="inlineStr">
        <is>
          <t>9098-0558 QI</t>
        </is>
      </c>
      <c r="B198" t="inlineStr">
        <is>
          <t>Operating Revenue</t>
        </is>
      </c>
      <c r="C198" t="inlineStr">
        <is>
          <t>FY2024</t>
        </is>
      </c>
      <c r="D198" s="14" t="n">
        <v>-1854065.71</v>
      </c>
    </row>
    <row r="199">
      <c r="A199" t="inlineStr">
        <is>
          <t>9098-0558 QI</t>
        </is>
      </c>
      <c r="B199" t="inlineStr">
        <is>
          <t>COGS</t>
        </is>
      </c>
      <c r="C199" t="inlineStr">
        <is>
          <t>FY2024</t>
        </is>
      </c>
      <c r="D199" s="14" t="n">
        <v>677167.58</v>
      </c>
    </row>
    <row r="200">
      <c r="A200" t="inlineStr">
        <is>
          <t>9098-0558 QI</t>
        </is>
      </c>
      <c r="B200" t="inlineStr">
        <is>
          <t>Occupancy</t>
        </is>
      </c>
      <c r="C200" t="inlineStr">
        <is>
          <t>FY2024</t>
        </is>
      </c>
      <c r="D200" s="14" t="n">
        <v>147788.1</v>
      </c>
    </row>
    <row r="201">
      <c r="A201" t="inlineStr">
        <is>
          <t>9098-0558 QI</t>
        </is>
      </c>
      <c r="B201" t="inlineStr">
        <is>
          <t>Administrative</t>
        </is>
      </c>
      <c r="C201" t="inlineStr">
        <is>
          <t>FY2024</t>
        </is>
      </c>
      <c r="D201" s="14" t="n">
        <v>59333.68</v>
      </c>
    </row>
    <row r="202">
      <c r="A202" t="inlineStr">
        <is>
          <t>9098-0558 QI</t>
        </is>
      </c>
      <c r="B202" t="inlineStr">
        <is>
          <t>Repairs &amp; Maintenance</t>
        </is>
      </c>
      <c r="C202" t="inlineStr">
        <is>
          <t>FY2024</t>
        </is>
      </c>
      <c r="D202" s="14" t="n">
        <v>68758.92</v>
      </c>
    </row>
    <row r="203">
      <c r="A203" t="inlineStr">
        <is>
          <t>9098-0558 QI</t>
        </is>
      </c>
      <c r="B203" t="inlineStr">
        <is>
          <t>Other Operating</t>
        </is>
      </c>
      <c r="C203" t="inlineStr">
        <is>
          <t>FY2024</t>
        </is>
      </c>
      <c r="D203" s="14" t="n">
        <v>90425.48</v>
      </c>
    </row>
    <row r="204">
      <c r="A204" t="inlineStr">
        <is>
          <t>9098-0558 QI</t>
        </is>
      </c>
      <c r="B204" t="inlineStr">
        <is>
          <t>Payroll &amp; Benefits</t>
        </is>
      </c>
      <c r="C204" t="inlineStr">
        <is>
          <t>FY2024</t>
        </is>
      </c>
      <c r="D204" s="14" t="n">
        <v>360373.72</v>
      </c>
    </row>
    <row r="205">
      <c r="A205" t="inlineStr">
        <is>
          <t>9098-0558 QI</t>
        </is>
      </c>
      <c r="B205" t="inlineStr">
        <is>
          <t>Management Fees (Interco)</t>
        </is>
      </c>
      <c r="C205" t="inlineStr">
        <is>
          <t>FY2024</t>
        </is>
      </c>
      <c r="D205" s="14" t="n">
        <v>0</v>
      </c>
    </row>
    <row r="206">
      <c r="A206" t="inlineStr">
        <is>
          <t>9098-0558 QI</t>
        </is>
      </c>
      <c r="B206" t="inlineStr">
        <is>
          <t>Interest &amp; Financing</t>
        </is>
      </c>
      <c r="C206" t="inlineStr">
        <is>
          <t>FY2024</t>
        </is>
      </c>
      <c r="D206" s="14" t="n">
        <v>30851.77</v>
      </c>
    </row>
    <row r="207">
      <c r="A207" t="inlineStr">
        <is>
          <t>9098-0558 QI</t>
        </is>
      </c>
      <c r="B207" t="inlineStr">
        <is>
          <t>Marketing &amp; Entertainment</t>
        </is>
      </c>
      <c r="C207" t="inlineStr">
        <is>
          <t>FY2024</t>
        </is>
      </c>
      <c r="D207" s="14" t="n">
        <v>371929.89</v>
      </c>
    </row>
    <row r="208">
      <c r="A208" t="inlineStr">
        <is>
          <t>9098-0558 QI</t>
        </is>
      </c>
      <c r="B208" t="inlineStr">
        <is>
          <t>Amortization</t>
        </is>
      </c>
      <c r="C208" t="inlineStr">
        <is>
          <t>FY2024</t>
        </is>
      </c>
      <c r="D208" s="14" t="n">
        <v>11293</v>
      </c>
    </row>
    <row r="209">
      <c r="A209" t="inlineStr">
        <is>
          <t>9098-0558 QI</t>
        </is>
      </c>
      <c r="B209" t="inlineStr">
        <is>
          <t>Income Tax</t>
        </is>
      </c>
      <c r="C209" t="inlineStr">
        <is>
          <t>FY2024</t>
        </is>
      </c>
      <c r="D209" s="14" t="n">
        <v>4426</v>
      </c>
    </row>
    <row r="210">
      <c r="A210" t="inlineStr">
        <is>
          <t>9504-7510 QI</t>
        </is>
      </c>
      <c r="B210" t="inlineStr">
        <is>
          <t>Operating Revenue</t>
        </is>
      </c>
      <c r="C210" t="inlineStr">
        <is>
          <t>FY2024</t>
        </is>
      </c>
      <c r="D210" s="14" t="n">
        <v>0</v>
      </c>
    </row>
    <row r="211">
      <c r="A211" t="inlineStr">
        <is>
          <t>9504-7510 QI</t>
        </is>
      </c>
      <c r="B211" t="inlineStr">
        <is>
          <t>Management Fees (Interco)</t>
        </is>
      </c>
      <c r="C211" t="inlineStr">
        <is>
          <t>FY2024</t>
        </is>
      </c>
      <c r="D211" s="14" t="n">
        <v>0</v>
      </c>
    </row>
    <row r="212">
      <c r="A212" t="inlineStr">
        <is>
          <t>9504-7510 QI</t>
        </is>
      </c>
      <c r="B212" t="inlineStr">
        <is>
          <t>COGS</t>
        </is>
      </c>
      <c r="C212" t="inlineStr">
        <is>
          <t>FY2024</t>
        </is>
      </c>
      <c r="D212" s="14" t="n">
        <v>0</v>
      </c>
    </row>
    <row r="213">
      <c r="A213" t="inlineStr">
        <is>
          <t>9504-7510 QI</t>
        </is>
      </c>
      <c r="B213" t="inlineStr">
        <is>
          <t>Other Operating</t>
        </is>
      </c>
      <c r="C213" t="inlineStr">
        <is>
          <t>FY2024</t>
        </is>
      </c>
      <c r="D213" s="14" t="n">
        <v>0</v>
      </c>
    </row>
    <row r="214">
      <c r="A214" t="inlineStr">
        <is>
          <t>9504-7510 QI</t>
        </is>
      </c>
      <c r="B214" t="inlineStr">
        <is>
          <t>Payroll &amp; Benefits</t>
        </is>
      </c>
      <c r="C214" t="inlineStr">
        <is>
          <t>FY2024</t>
        </is>
      </c>
      <c r="D214" s="14" t="n">
        <v>0</v>
      </c>
    </row>
    <row r="215">
      <c r="A215" t="inlineStr">
        <is>
          <t>9504-7510 QI</t>
        </is>
      </c>
      <c r="B215" t="inlineStr">
        <is>
          <t>Administrative</t>
        </is>
      </c>
      <c r="C215" t="inlineStr">
        <is>
          <t>FY2024</t>
        </is>
      </c>
      <c r="D215" s="14" t="n">
        <v>6971.72</v>
      </c>
    </row>
    <row r="216">
      <c r="A216" t="inlineStr">
        <is>
          <t>9504-7510 QI</t>
        </is>
      </c>
      <c r="B216" t="inlineStr">
        <is>
          <t>Occupancy</t>
        </is>
      </c>
      <c r="C216" t="inlineStr">
        <is>
          <t>FY2024</t>
        </is>
      </c>
      <c r="D216" s="14" t="n">
        <v>1030.5</v>
      </c>
    </row>
    <row r="217">
      <c r="A217" t="inlineStr">
        <is>
          <t>9504-7510 QI</t>
        </is>
      </c>
      <c r="B217" t="inlineStr">
        <is>
          <t>Interest &amp; Financing</t>
        </is>
      </c>
      <c r="C217" t="inlineStr">
        <is>
          <t>FY2024</t>
        </is>
      </c>
      <c r="D217" s="14" t="n">
        <v>47.32</v>
      </c>
    </row>
    <row r="218">
      <c r="A218" t="inlineStr">
        <is>
          <t>9504-7510 QI</t>
        </is>
      </c>
      <c r="B218" t="inlineStr">
        <is>
          <t>Marketing &amp; Entertainment</t>
        </is>
      </c>
      <c r="C218" t="inlineStr">
        <is>
          <t>FY2024</t>
        </is>
      </c>
      <c r="D218" s="14" t="n">
        <v>0</v>
      </c>
    </row>
    <row r="219">
      <c r="A219" t="inlineStr">
        <is>
          <t>9504-7510 QI</t>
        </is>
      </c>
      <c r="B219" t="inlineStr">
        <is>
          <t>Repairs &amp; Maintenance</t>
        </is>
      </c>
      <c r="C219" t="inlineStr">
        <is>
          <t>FY2024</t>
        </is>
      </c>
      <c r="D219" s="14" t="n">
        <v>0</v>
      </c>
    </row>
    <row r="220">
      <c r="A220" t="inlineStr">
        <is>
          <t>9504-7510 QI</t>
        </is>
      </c>
      <c r="B220" t="inlineStr">
        <is>
          <t>Amortization</t>
        </is>
      </c>
      <c r="C220" t="inlineStr">
        <is>
          <t>FY2024</t>
        </is>
      </c>
      <c r="D220" s="14" t="n">
        <v>0</v>
      </c>
    </row>
    <row r="221">
      <c r="A221" t="inlineStr">
        <is>
          <t>2749-8567 QI</t>
        </is>
      </c>
      <c r="B221" t="inlineStr">
        <is>
          <t>Other Operating</t>
        </is>
      </c>
      <c r="C221" t="inlineStr">
        <is>
          <t>FY2024</t>
        </is>
      </c>
      <c r="D221" s="14" t="n">
        <v>-90757.8</v>
      </c>
    </row>
    <row r="222">
      <c r="A222" t="inlineStr">
        <is>
          <t>2749-8567 QI</t>
        </is>
      </c>
      <c r="B222" t="inlineStr">
        <is>
          <t>Administrative</t>
        </is>
      </c>
      <c r="C222" t="inlineStr">
        <is>
          <t>FY2024</t>
        </is>
      </c>
      <c r="D222" s="14" t="n">
        <v>12837.77</v>
      </c>
    </row>
    <row r="223">
      <c r="A223" t="inlineStr">
        <is>
          <t>2749-8567 QI</t>
        </is>
      </c>
      <c r="B223" t="inlineStr">
        <is>
          <t>Management Fees (Interco)</t>
        </is>
      </c>
      <c r="C223" t="inlineStr">
        <is>
          <t>FY2024</t>
        </is>
      </c>
      <c r="D223" s="14" t="n">
        <v>25000</v>
      </c>
    </row>
    <row r="224">
      <c r="A224" t="inlineStr">
        <is>
          <t>2749-8567 QI</t>
        </is>
      </c>
      <c r="B224" t="inlineStr">
        <is>
          <t>Interest &amp; Financing</t>
        </is>
      </c>
      <c r="C224" t="inlineStr">
        <is>
          <t>FY2024</t>
        </is>
      </c>
      <c r="D224" s="14" t="n">
        <v>153.5</v>
      </c>
    </row>
    <row r="225">
      <c r="A225" t="inlineStr">
        <is>
          <t>2749-8567 QI</t>
        </is>
      </c>
      <c r="B225" t="inlineStr">
        <is>
          <t>Repairs &amp; Maintenance</t>
        </is>
      </c>
      <c r="C225" t="inlineStr">
        <is>
          <t>FY2024</t>
        </is>
      </c>
      <c r="D225" s="14" t="n">
        <v>4960.18</v>
      </c>
    </row>
    <row r="226">
      <c r="A226" t="inlineStr">
        <is>
          <t>2749-8567 QI</t>
        </is>
      </c>
      <c r="B226" t="inlineStr">
        <is>
          <t>Amortization</t>
        </is>
      </c>
      <c r="C226" t="inlineStr">
        <is>
          <t>FY2024</t>
        </is>
      </c>
      <c r="D226" s="14" t="n">
        <v>22645</v>
      </c>
    </row>
    <row r="227">
      <c r="A227" t="inlineStr">
        <is>
          <t>2749-8567 QI</t>
        </is>
      </c>
      <c r="B227" t="inlineStr">
        <is>
          <t>Income Tax</t>
        </is>
      </c>
      <c r="C227" t="inlineStr">
        <is>
          <t>FY2024</t>
        </is>
      </c>
      <c r="D227" s="14" t="n">
        <v>3126</v>
      </c>
    </row>
    <row r="228">
      <c r="A228" t="inlineStr">
        <is>
          <t>N/A</t>
        </is>
      </c>
      <c r="B228" t="inlineStr">
        <is>
          <t>Operating Revenue</t>
        </is>
      </c>
      <c r="C228" t="inlineStr">
        <is>
          <t>FY2024</t>
        </is>
      </c>
      <c r="D228" s="14" t="n">
        <v>-72001</v>
      </c>
    </row>
    <row r="229">
      <c r="A229" t="inlineStr">
        <is>
          <t>N/A</t>
        </is>
      </c>
      <c r="B229" t="inlineStr">
        <is>
          <t>Administrative</t>
        </is>
      </c>
      <c r="C229" t="inlineStr">
        <is>
          <t>FY2024</t>
        </is>
      </c>
      <c r="D229" s="14" t="n">
        <v>71544.69</v>
      </c>
    </row>
    <row r="230">
      <c r="A230" t="inlineStr">
        <is>
          <t>N/A</t>
        </is>
      </c>
      <c r="B230" t="inlineStr">
        <is>
          <t>Interest &amp; Financing</t>
        </is>
      </c>
      <c r="C230" t="inlineStr">
        <is>
          <t>FY2024</t>
        </is>
      </c>
      <c r="D230" s="14" t="n">
        <v>340.62</v>
      </c>
    </row>
    <row r="231">
      <c r="A231" t="inlineStr">
        <is>
          <t>N/A</t>
        </is>
      </c>
      <c r="B231" t="inlineStr">
        <is>
          <t>Amortization</t>
        </is>
      </c>
      <c r="C231" t="inlineStr">
        <is>
          <t>FY2024</t>
        </is>
      </c>
      <c r="D231" s="14" t="n">
        <v>11257</v>
      </c>
    </row>
    <row r="232">
      <c r="A232" t="inlineStr">
        <is>
          <t>N/A</t>
        </is>
      </c>
      <c r="B232" t="inlineStr">
        <is>
          <t>Interest &amp; Financing</t>
        </is>
      </c>
      <c r="C232" t="inlineStr">
        <is>
          <t>FY2024</t>
        </is>
      </c>
      <c r="D232" s="14" t="n">
        <v>10</v>
      </c>
    </row>
    <row r="233">
      <c r="A233" t="inlineStr">
        <is>
          <t>N/A</t>
        </is>
      </c>
      <c r="B233" t="inlineStr">
        <is>
          <t>Interest &amp; Financing</t>
        </is>
      </c>
      <c r="C233" t="inlineStr">
        <is>
          <t>FY2024</t>
        </is>
      </c>
      <c r="D233" s="14" t="n">
        <v>4.01</v>
      </c>
    </row>
    <row r="234">
      <c r="A234" t="inlineStr">
        <is>
          <t>9455-8236 QI</t>
        </is>
      </c>
      <c r="B234" t="inlineStr">
        <is>
          <t>Operating Revenue</t>
        </is>
      </c>
      <c r="C234" t="inlineStr">
        <is>
          <t>FY2025</t>
        </is>
      </c>
      <c r="D234" s="14" t="n">
        <v>-5213628.68</v>
      </c>
    </row>
    <row r="235">
      <c r="A235" t="inlineStr">
        <is>
          <t>9455-8236 QI</t>
        </is>
      </c>
      <c r="B235" t="inlineStr">
        <is>
          <t>Management Fees (Interco)</t>
        </is>
      </c>
      <c r="C235" t="inlineStr">
        <is>
          <t>FY2025</t>
        </is>
      </c>
      <c r="D235" s="14" t="n">
        <v>30000</v>
      </c>
    </row>
    <row r="236">
      <c r="A236" t="inlineStr">
        <is>
          <t>9455-8236 QI</t>
        </is>
      </c>
      <c r="B236" t="inlineStr">
        <is>
          <t>Interest &amp; Financing</t>
        </is>
      </c>
      <c r="C236" t="inlineStr">
        <is>
          <t>FY2025</t>
        </is>
      </c>
      <c r="D236" s="14" t="n">
        <v>146738.3</v>
      </c>
    </row>
    <row r="237">
      <c r="A237" t="inlineStr">
        <is>
          <t>9455-8236 QI</t>
        </is>
      </c>
      <c r="B237" t="inlineStr">
        <is>
          <t>Occupancy</t>
        </is>
      </c>
      <c r="C237" t="inlineStr">
        <is>
          <t>FY2025</t>
        </is>
      </c>
      <c r="D237" s="14" t="n">
        <v>474171.72</v>
      </c>
    </row>
    <row r="238">
      <c r="A238" t="inlineStr">
        <is>
          <t>9455-8236 QI</t>
        </is>
      </c>
      <c r="B238" t="inlineStr">
        <is>
          <t>Other Operating</t>
        </is>
      </c>
      <c r="C238" t="inlineStr">
        <is>
          <t>FY2025</t>
        </is>
      </c>
      <c r="D238" s="14" t="n">
        <v>79976.25999999999</v>
      </c>
    </row>
    <row r="239">
      <c r="A239" t="inlineStr">
        <is>
          <t>9455-8236 QI</t>
        </is>
      </c>
      <c r="B239" t="inlineStr">
        <is>
          <t>Administrative</t>
        </is>
      </c>
      <c r="C239" t="inlineStr">
        <is>
          <t>FY2025</t>
        </is>
      </c>
      <c r="D239" s="14" t="n">
        <v>99728.72</v>
      </c>
    </row>
    <row r="240">
      <c r="A240" t="inlineStr">
        <is>
          <t>9455-8236 QI</t>
        </is>
      </c>
      <c r="B240" t="inlineStr">
        <is>
          <t>Marketing &amp; Entertainment</t>
        </is>
      </c>
      <c r="C240" t="inlineStr">
        <is>
          <t>FY2025</t>
        </is>
      </c>
      <c r="D240" s="14" t="n">
        <v>141793.12</v>
      </c>
    </row>
    <row r="241">
      <c r="A241" t="inlineStr">
        <is>
          <t>9455-8236 QI</t>
        </is>
      </c>
      <c r="B241" t="inlineStr">
        <is>
          <t>Amortization</t>
        </is>
      </c>
      <c r="C241" t="inlineStr">
        <is>
          <t>FY2025</t>
        </is>
      </c>
      <c r="D241" s="14" t="n">
        <v>199058</v>
      </c>
    </row>
    <row r="242">
      <c r="A242" t="inlineStr">
        <is>
          <t>9455-8236 QI</t>
        </is>
      </c>
      <c r="B242" t="inlineStr">
        <is>
          <t>COGS</t>
        </is>
      </c>
      <c r="C242" t="inlineStr">
        <is>
          <t>FY2025</t>
        </is>
      </c>
      <c r="D242" s="14" t="n">
        <v>1647558.89</v>
      </c>
    </row>
    <row r="243">
      <c r="A243" t="inlineStr">
        <is>
          <t>9455-8236 QI</t>
        </is>
      </c>
      <c r="B243" t="inlineStr">
        <is>
          <t>Payroll &amp; Benefits</t>
        </is>
      </c>
      <c r="C243" t="inlineStr">
        <is>
          <t>FY2025</t>
        </is>
      </c>
      <c r="D243" s="14" t="n">
        <v>1780201.39</v>
      </c>
    </row>
    <row r="244">
      <c r="A244" t="inlineStr">
        <is>
          <t>9455-8236 QI</t>
        </is>
      </c>
      <c r="B244" t="inlineStr">
        <is>
          <t>Repairs &amp; Maintenance</t>
        </is>
      </c>
      <c r="C244" t="inlineStr">
        <is>
          <t>FY2025</t>
        </is>
      </c>
      <c r="D244" s="14" t="n">
        <v>88959.36</v>
      </c>
    </row>
    <row r="245">
      <c r="A245" t="inlineStr">
        <is>
          <t>9455-8236 QI</t>
        </is>
      </c>
      <c r="B245" t="inlineStr">
        <is>
          <t>Income Tax</t>
        </is>
      </c>
      <c r="C245" t="inlineStr">
        <is>
          <t>FY2025</t>
        </is>
      </c>
      <c r="D245" s="14" t="n">
        <v>62548</v>
      </c>
    </row>
    <row r="246">
      <c r="A246" t="inlineStr">
        <is>
          <t>9455-8236 QI</t>
        </is>
      </c>
      <c r="B246" t="inlineStr">
        <is>
          <t>Operating Revenue</t>
        </is>
      </c>
      <c r="C246" t="inlineStr">
        <is>
          <t>FY2024</t>
        </is>
      </c>
      <c r="D246" s="14" t="n">
        <v>-6233247.68</v>
      </c>
    </row>
    <row r="247">
      <c r="A247" t="inlineStr">
        <is>
          <t>9455-8236 QI</t>
        </is>
      </c>
      <c r="B247" t="inlineStr">
        <is>
          <t>Management Fees (Interco)</t>
        </is>
      </c>
      <c r="C247" t="inlineStr">
        <is>
          <t>FY2024</t>
        </is>
      </c>
      <c r="D247" s="14" t="n">
        <v>105000</v>
      </c>
    </row>
    <row r="248">
      <c r="A248" t="inlineStr">
        <is>
          <t>9455-8236 QI</t>
        </is>
      </c>
      <c r="B248" t="inlineStr">
        <is>
          <t>Interest &amp; Financing</t>
        </is>
      </c>
      <c r="C248" t="inlineStr">
        <is>
          <t>FY2024</t>
        </is>
      </c>
      <c r="D248" s="14" t="n">
        <v>178561.41</v>
      </c>
    </row>
    <row r="249">
      <c r="A249" t="inlineStr">
        <is>
          <t>9455-8236 QI</t>
        </is>
      </c>
      <c r="B249" t="inlineStr">
        <is>
          <t>Occupancy</t>
        </is>
      </c>
      <c r="C249" t="inlineStr">
        <is>
          <t>FY2024</t>
        </is>
      </c>
      <c r="D249" s="14" t="n">
        <v>382549.29</v>
      </c>
    </row>
    <row r="250">
      <c r="A250" t="inlineStr">
        <is>
          <t>9455-8236 QI</t>
        </is>
      </c>
      <c r="B250" t="inlineStr">
        <is>
          <t>Other Operating</t>
        </is>
      </c>
      <c r="C250" t="inlineStr">
        <is>
          <t>FY2024</t>
        </is>
      </c>
      <c r="D250" s="14" t="n">
        <v>73281.73</v>
      </c>
    </row>
    <row r="251">
      <c r="A251" t="inlineStr">
        <is>
          <t>9455-8236 QI</t>
        </is>
      </c>
      <c r="B251" t="inlineStr">
        <is>
          <t>Administrative</t>
        </is>
      </c>
      <c r="C251" t="inlineStr">
        <is>
          <t>FY2024</t>
        </is>
      </c>
      <c r="D251" s="14" t="n">
        <v>88387.59</v>
      </c>
    </row>
    <row r="252">
      <c r="A252" t="inlineStr">
        <is>
          <t>9455-8236 QI</t>
        </is>
      </c>
      <c r="B252" t="inlineStr">
        <is>
          <t>Marketing &amp; Entertainment</t>
        </is>
      </c>
      <c r="C252" t="inlineStr">
        <is>
          <t>FY2024</t>
        </is>
      </c>
      <c r="D252" s="14" t="n">
        <v>161333.63</v>
      </c>
    </row>
    <row r="253">
      <c r="A253" t="inlineStr">
        <is>
          <t>9455-8236 QI</t>
        </is>
      </c>
      <c r="B253" t="inlineStr">
        <is>
          <t>Amortization</t>
        </is>
      </c>
      <c r="C253" t="inlineStr">
        <is>
          <t>FY2024</t>
        </is>
      </c>
      <c r="D253" s="14" t="n">
        <v>222195</v>
      </c>
    </row>
    <row r="254">
      <c r="A254" t="inlineStr">
        <is>
          <t>9455-8236 QI</t>
        </is>
      </c>
      <c r="B254" t="inlineStr">
        <is>
          <t>COGS</t>
        </is>
      </c>
      <c r="C254" t="inlineStr">
        <is>
          <t>FY2024</t>
        </is>
      </c>
      <c r="D254" s="14" t="n">
        <v>1888352.46</v>
      </c>
    </row>
    <row r="255">
      <c r="A255" t="inlineStr">
        <is>
          <t>9455-8236 QI</t>
        </is>
      </c>
      <c r="B255" t="inlineStr">
        <is>
          <t>Payroll &amp; Benefits</t>
        </is>
      </c>
      <c r="C255" t="inlineStr">
        <is>
          <t>FY2024</t>
        </is>
      </c>
      <c r="D255" s="14" t="n">
        <v>2181636.69</v>
      </c>
    </row>
    <row r="256">
      <c r="A256" t="inlineStr">
        <is>
          <t>9455-8236 QI</t>
        </is>
      </c>
      <c r="B256" t="inlineStr">
        <is>
          <t>Repairs &amp; Maintenance</t>
        </is>
      </c>
      <c r="C256" t="inlineStr">
        <is>
          <t>FY2024</t>
        </is>
      </c>
      <c r="D256" s="14" t="n">
        <v>214990.43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2" customWidth="1" min="9" max="9"/>
    <col width="14" customWidth="1" min="10" max="10"/>
    <col width="14" customWidth="1" min="11" max="11"/>
  </cols>
  <sheetData>
    <row r="1">
      <c r="A1" s="12" t="inlineStr">
        <is>
          <t>Entity Register — driven by Dashboard fiscal-year selector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13" t="inlineStr">
        <is>
          <t>EntityName</t>
        </is>
      </c>
      <c r="B4" s="13" t="inlineStr">
        <is>
          <t>Segment</t>
        </is>
      </c>
      <c r="C4" s="13" t="inlineStr">
        <is>
          <t>Revenue</t>
        </is>
      </c>
      <c r="D4" s="13" t="inlineStr">
        <is>
          <t>COGS</t>
        </is>
      </c>
      <c r="E4" s="13" t="inlineStr">
        <is>
          <t>Payroll</t>
        </is>
      </c>
      <c r="F4" s="13" t="inlineStr">
        <is>
          <t>Occupancy</t>
        </is>
      </c>
      <c r="G4" s="13" t="inlineStr">
        <is>
          <t>Interest &amp; Financing</t>
        </is>
      </c>
      <c r="H4" s="13" t="inlineStr">
        <is>
          <t>Amortization</t>
        </is>
      </c>
      <c r="I4" s="13" t="inlineStr">
        <is>
          <t>Income Tax</t>
        </is>
      </c>
      <c r="J4" s="13" t="inlineStr">
        <is>
          <t>EBITDA</t>
        </is>
      </c>
      <c r="K4" s="13" t="inlineStr">
        <is>
          <t>Net Income</t>
        </is>
      </c>
    </row>
    <row r="5">
      <c r="A5" t="inlineStr">
        <is>
          <t>9357-7427 Québec Inc.</t>
        </is>
      </c>
      <c r="B5" t="inlineStr">
        <is>
          <t>HoldCo</t>
        </is>
      </c>
      <c r="C5" s="14">
        <f>-SUMIFS(Fact_TrialBalance[Amount],Fact_TrialBalance[EntityId],"9357-7427 QI",Fact_TrialBalance[Category],"Operating Revenue",Fact_TrialBalance[FiscalYear],Dashboard!$H$6)</f>
        <v/>
      </c>
      <c r="D5" s="14">
        <f>SUMIFS(Fact_TrialBalance[Amount],Fact_TrialBalance[EntityId],"9357-7427 QI",Fact_TrialBalance[Category],"COGS",Fact_TrialBalance[FiscalYear],Dashboard!$H$6)</f>
        <v/>
      </c>
      <c r="E5" s="14">
        <f>SUMIFS(Fact_TrialBalance[Amount],Fact_TrialBalance[EntityId],"9357-7427 QI",Fact_TrialBalance[Category],"Payroll &amp; Benefits",Fact_TrialBalance[FiscalYear],Dashboard!$H$6)</f>
        <v/>
      </c>
      <c r="F5" s="14">
        <f>SUMIFS(Fact_TrialBalance[Amount],Fact_TrialBalance[EntityId],"9357-7427 QI",Fact_TrialBalance[Category],"Occupancy",Fact_TrialBalance[FiscalYear],Dashboard!$H$6)</f>
        <v/>
      </c>
      <c r="G5" s="14">
        <f>SUMIFS(Fact_TrialBalance[Amount],Fact_TrialBalance[EntityId],"9357-7427 QI",Fact_TrialBalance[Category],"Interest &amp; Financing",Fact_TrialBalance[FiscalYear],Dashboard!$H$6)</f>
        <v/>
      </c>
      <c r="H5" s="14">
        <f>SUMIFS(Fact_TrialBalance[Amount],Fact_TrialBalance[EntityId],"9357-7427 QI",Fact_TrialBalance[Category],"Amortization",Fact_TrialBalance[FiscalYear],Dashboard!$H$6)</f>
        <v/>
      </c>
      <c r="I5" s="14">
        <f>SUMIFS(Fact_TrialBalance[Amount],Fact_TrialBalance[EntityId],"9357-7427 QI",Fact_TrialBalance[Category],"Income Tax",Fact_TrialBalance[FiscalYear],Dashboard!$H$6)</f>
        <v/>
      </c>
      <c r="J5" s="14">
        <f>-(SUMIFS(Fact_TrialBalance[Amount],Fact_TrialBalance[EntityId],"9357-7427 QI",Fact_TrialBalance[FiscalYear],Dashboard!$H$6)-SUMPRODUCT((Fact_TrialBalance[EntityId]="9357-7427 QI")*(Fact_TrialBalance[FiscalYear]=Dashboard!$H$6)*(ISNUMBER(MATCH(Fact_TrialBalance[Category],{"Interest &amp; Financing","Amortization","Income Tax"},0)))*Fact_TrialBalance[Amount]))</f>
        <v/>
      </c>
      <c r="K5" s="14">
        <f>-SUMIFS(Fact_TrialBalance[Amount],Fact_TrialBalance[EntityId],"9357-7427 QI",Fact_TrialBalance[FiscalYear],Dashboard!$H$6)</f>
        <v/>
      </c>
    </row>
    <row r="6">
      <c r="A6" t="inlineStr">
        <is>
          <t>9366-1676 Québec Inc.</t>
        </is>
      </c>
      <c r="B6" t="inlineStr">
        <is>
          <t>HoldCo</t>
        </is>
      </c>
      <c r="C6" s="14">
        <f>-SUMIFS(Fact_TrialBalance[Amount],Fact_TrialBalance[EntityId],"9366-1676 QI",Fact_TrialBalance[Category],"Operating Revenue",Fact_TrialBalance[FiscalYear],Dashboard!$H$6)</f>
        <v/>
      </c>
      <c r="D6" s="14">
        <f>SUMIFS(Fact_TrialBalance[Amount],Fact_TrialBalance[EntityId],"9366-1676 QI",Fact_TrialBalance[Category],"COGS",Fact_TrialBalance[FiscalYear],Dashboard!$H$6)</f>
        <v/>
      </c>
      <c r="E6" s="14">
        <f>SUMIFS(Fact_TrialBalance[Amount],Fact_TrialBalance[EntityId],"9366-1676 QI",Fact_TrialBalance[Category],"Payroll &amp; Benefits",Fact_TrialBalance[FiscalYear],Dashboard!$H$6)</f>
        <v/>
      </c>
      <c r="F6" s="14">
        <f>SUMIFS(Fact_TrialBalance[Amount],Fact_TrialBalance[EntityId],"9366-1676 QI",Fact_TrialBalance[Category],"Occupancy",Fact_TrialBalance[FiscalYear],Dashboard!$H$6)</f>
        <v/>
      </c>
      <c r="G6" s="14">
        <f>SUMIFS(Fact_TrialBalance[Amount],Fact_TrialBalance[EntityId],"9366-1676 QI",Fact_TrialBalance[Category],"Interest &amp; Financing",Fact_TrialBalance[FiscalYear],Dashboard!$H$6)</f>
        <v/>
      </c>
      <c r="H6" s="14">
        <f>SUMIFS(Fact_TrialBalance[Amount],Fact_TrialBalance[EntityId],"9366-1676 QI",Fact_TrialBalance[Category],"Amortization",Fact_TrialBalance[FiscalYear],Dashboard!$H$6)</f>
        <v/>
      </c>
      <c r="I6" s="14">
        <f>SUMIFS(Fact_TrialBalance[Amount],Fact_TrialBalance[EntityId],"9366-1676 QI",Fact_TrialBalance[Category],"Income Tax",Fact_TrialBalance[FiscalYear],Dashboard!$H$6)</f>
        <v/>
      </c>
      <c r="J6" s="14">
        <f>-(SUMIFS(Fact_TrialBalance[Amount],Fact_TrialBalance[EntityId],"9366-1676 QI",Fact_TrialBalance[FiscalYear],Dashboard!$H$6)-SUMPRODUCT((Fact_TrialBalance[EntityId]="9366-1676 QI")*(Fact_TrialBalance[FiscalYear]=Dashboard!$H$6)*(ISNUMBER(MATCH(Fact_TrialBalance[Category],{"Interest &amp; Financing","Amortization","Income Tax"},0)))*Fact_TrialBalance[Amount]))</f>
        <v/>
      </c>
      <c r="K6" s="14">
        <f>-SUMIFS(Fact_TrialBalance[Amount],Fact_TrialBalance[EntityId],"9366-1676 QI",Fact_TrialBalance[FiscalYear],Dashboard!$H$6)</f>
        <v/>
      </c>
    </row>
    <row r="7">
      <c r="A7" t="inlineStr">
        <is>
          <t>9425-4547 Québec Inc.</t>
        </is>
      </c>
      <c r="B7" t="inlineStr">
        <is>
          <t>HoldCo</t>
        </is>
      </c>
      <c r="C7" s="14">
        <f>-SUMIFS(Fact_TrialBalance[Amount],Fact_TrialBalance[EntityId],"9425-4547 QI",Fact_TrialBalance[Category],"Operating Revenue",Fact_TrialBalance[FiscalYear],Dashboard!$H$6)</f>
        <v/>
      </c>
      <c r="D7" s="14">
        <f>SUMIFS(Fact_TrialBalance[Amount],Fact_TrialBalance[EntityId],"9425-4547 QI",Fact_TrialBalance[Category],"COGS",Fact_TrialBalance[FiscalYear],Dashboard!$H$6)</f>
        <v/>
      </c>
      <c r="E7" s="14">
        <f>SUMIFS(Fact_TrialBalance[Amount],Fact_TrialBalance[EntityId],"9425-4547 QI",Fact_TrialBalance[Category],"Payroll &amp; Benefits",Fact_TrialBalance[FiscalYear],Dashboard!$H$6)</f>
        <v/>
      </c>
      <c r="F7" s="14">
        <f>SUMIFS(Fact_TrialBalance[Amount],Fact_TrialBalance[EntityId],"9425-4547 QI",Fact_TrialBalance[Category],"Occupancy",Fact_TrialBalance[FiscalYear],Dashboard!$H$6)</f>
        <v/>
      </c>
      <c r="G7" s="14">
        <f>SUMIFS(Fact_TrialBalance[Amount],Fact_TrialBalance[EntityId],"9425-4547 QI",Fact_TrialBalance[Category],"Interest &amp; Financing",Fact_TrialBalance[FiscalYear],Dashboard!$H$6)</f>
        <v/>
      </c>
      <c r="H7" s="14">
        <f>SUMIFS(Fact_TrialBalance[Amount],Fact_TrialBalance[EntityId],"9425-4547 QI",Fact_TrialBalance[Category],"Amortization",Fact_TrialBalance[FiscalYear],Dashboard!$H$6)</f>
        <v/>
      </c>
      <c r="I7" s="14">
        <f>SUMIFS(Fact_TrialBalance[Amount],Fact_TrialBalance[EntityId],"9425-4547 QI",Fact_TrialBalance[Category],"Income Tax",Fact_TrialBalance[FiscalYear],Dashboard!$H$6)</f>
        <v/>
      </c>
      <c r="J7" s="14">
        <f>-(SUMIFS(Fact_TrialBalance[Amount],Fact_TrialBalance[EntityId],"9425-4547 QI",Fact_TrialBalance[FiscalYear],Dashboard!$H$6)-SUMPRODUCT((Fact_TrialBalance[EntityId]="9425-4547 QI")*(Fact_TrialBalance[FiscalYear]=Dashboard!$H$6)*(ISNUMBER(MATCH(Fact_TrialBalance[Category],{"Interest &amp; Financing","Amortization","Income Tax"},0)))*Fact_TrialBalance[Amount]))</f>
        <v/>
      </c>
      <c r="K7" s="14">
        <f>-SUMIFS(Fact_TrialBalance[Amount],Fact_TrialBalance[EntityId],"9425-4547 QI",Fact_TrialBalance[FiscalYear],Dashboard!$H$6)</f>
        <v/>
      </c>
    </row>
    <row r="8">
      <c r="A8" t="inlineStr">
        <is>
          <t>9455-4177 Québec Inc.</t>
        </is>
      </c>
      <c r="B8" t="inlineStr">
        <is>
          <t>HoldCo</t>
        </is>
      </c>
      <c r="C8" s="14">
        <f>-SUMIFS(Fact_TrialBalance[Amount],Fact_TrialBalance[EntityId],"9455-4177 QI",Fact_TrialBalance[Category],"Operating Revenue",Fact_TrialBalance[FiscalYear],Dashboard!$H$6)</f>
        <v/>
      </c>
      <c r="D8" s="14">
        <f>SUMIFS(Fact_TrialBalance[Amount],Fact_TrialBalance[EntityId],"9455-4177 QI",Fact_TrialBalance[Category],"COGS",Fact_TrialBalance[FiscalYear],Dashboard!$H$6)</f>
        <v/>
      </c>
      <c r="E8" s="14">
        <f>SUMIFS(Fact_TrialBalance[Amount],Fact_TrialBalance[EntityId],"9455-4177 QI",Fact_TrialBalance[Category],"Payroll &amp; Benefits",Fact_TrialBalance[FiscalYear],Dashboard!$H$6)</f>
        <v/>
      </c>
      <c r="F8" s="14">
        <f>SUMIFS(Fact_TrialBalance[Amount],Fact_TrialBalance[EntityId],"9455-4177 QI",Fact_TrialBalance[Category],"Occupancy",Fact_TrialBalance[FiscalYear],Dashboard!$H$6)</f>
        <v/>
      </c>
      <c r="G8" s="14">
        <f>SUMIFS(Fact_TrialBalance[Amount],Fact_TrialBalance[EntityId],"9455-4177 QI",Fact_TrialBalance[Category],"Interest &amp; Financing",Fact_TrialBalance[FiscalYear],Dashboard!$H$6)</f>
        <v/>
      </c>
      <c r="H8" s="14">
        <f>SUMIFS(Fact_TrialBalance[Amount],Fact_TrialBalance[EntityId],"9455-4177 QI",Fact_TrialBalance[Category],"Amortization",Fact_TrialBalance[FiscalYear],Dashboard!$H$6)</f>
        <v/>
      </c>
      <c r="I8" s="14">
        <f>SUMIFS(Fact_TrialBalance[Amount],Fact_TrialBalance[EntityId],"9455-4177 QI",Fact_TrialBalance[Category],"Income Tax",Fact_TrialBalance[FiscalYear],Dashboard!$H$6)</f>
        <v/>
      </c>
      <c r="J8" s="14">
        <f>-(SUMIFS(Fact_TrialBalance[Amount],Fact_TrialBalance[EntityId],"9455-4177 QI",Fact_TrialBalance[FiscalYear],Dashboard!$H$6)-SUMPRODUCT((Fact_TrialBalance[EntityId]="9455-4177 QI")*(Fact_TrialBalance[FiscalYear]=Dashboard!$H$6)*(ISNUMBER(MATCH(Fact_TrialBalance[Category],{"Interest &amp; Financing","Amortization","Income Tax"},0)))*Fact_TrialBalance[Amount]))</f>
        <v/>
      </c>
      <c r="K8" s="14">
        <f>-SUMIFS(Fact_TrialBalance[Amount],Fact_TrialBalance[EntityId],"9455-4177 QI",Fact_TrialBalance[FiscalYear],Dashboard!$H$6)</f>
        <v/>
      </c>
    </row>
    <row r="9">
      <c r="A9" t="inlineStr">
        <is>
          <t>9455-4169 Québec Inc</t>
        </is>
      </c>
      <c r="B9" t="inlineStr">
        <is>
          <t>HoldCo</t>
        </is>
      </c>
      <c r="C9" s="14">
        <f>-SUMIFS(Fact_TrialBalance[Amount],Fact_TrialBalance[EntityId],"9455-4169 QI",Fact_TrialBalance[Category],"Operating Revenue",Fact_TrialBalance[FiscalYear],Dashboard!$H$6)</f>
        <v/>
      </c>
      <c r="D9" s="14">
        <f>SUMIFS(Fact_TrialBalance[Amount],Fact_TrialBalance[EntityId],"9455-4169 QI",Fact_TrialBalance[Category],"COGS",Fact_TrialBalance[FiscalYear],Dashboard!$H$6)</f>
        <v/>
      </c>
      <c r="E9" s="14">
        <f>SUMIFS(Fact_TrialBalance[Amount],Fact_TrialBalance[EntityId],"9455-4169 QI",Fact_TrialBalance[Category],"Payroll &amp; Benefits",Fact_TrialBalance[FiscalYear],Dashboard!$H$6)</f>
        <v/>
      </c>
      <c r="F9" s="14">
        <f>SUMIFS(Fact_TrialBalance[Amount],Fact_TrialBalance[EntityId],"9455-4169 QI",Fact_TrialBalance[Category],"Occupancy",Fact_TrialBalance[FiscalYear],Dashboard!$H$6)</f>
        <v/>
      </c>
      <c r="G9" s="14">
        <f>SUMIFS(Fact_TrialBalance[Amount],Fact_TrialBalance[EntityId],"9455-4169 QI",Fact_TrialBalance[Category],"Interest &amp; Financing",Fact_TrialBalance[FiscalYear],Dashboard!$H$6)</f>
        <v/>
      </c>
      <c r="H9" s="14">
        <f>SUMIFS(Fact_TrialBalance[Amount],Fact_TrialBalance[EntityId],"9455-4169 QI",Fact_TrialBalance[Category],"Amortization",Fact_TrialBalance[FiscalYear],Dashboard!$H$6)</f>
        <v/>
      </c>
      <c r="I9" s="14">
        <f>SUMIFS(Fact_TrialBalance[Amount],Fact_TrialBalance[EntityId],"9455-4169 QI",Fact_TrialBalance[Category],"Income Tax",Fact_TrialBalance[FiscalYear],Dashboard!$H$6)</f>
        <v/>
      </c>
      <c r="J9" s="14">
        <f>-(SUMIFS(Fact_TrialBalance[Amount],Fact_TrialBalance[EntityId],"9455-4169 QI",Fact_TrialBalance[FiscalYear],Dashboard!$H$6)-SUMPRODUCT((Fact_TrialBalance[EntityId]="9455-4169 QI")*(Fact_TrialBalance[FiscalYear]=Dashboard!$H$6)*(ISNUMBER(MATCH(Fact_TrialBalance[Category],{"Interest &amp; Financing","Amortization","Income Tax"},0)))*Fact_TrialBalance[Amount]))</f>
        <v/>
      </c>
      <c r="K9" s="14">
        <f>-SUMIFS(Fact_TrialBalance[Amount],Fact_TrialBalance[EntityId],"9455-4169 QI",Fact_TrialBalance[FiscalYear],Dashboard!$H$6)</f>
        <v/>
      </c>
    </row>
    <row r="10">
      <c r="A10" t="inlineStr">
        <is>
          <t>9455-4201 Québec inc.</t>
        </is>
      </c>
      <c r="B10" t="inlineStr">
        <is>
          <t>HoldCo</t>
        </is>
      </c>
      <c r="C10" s="14">
        <f>-SUMIFS(Fact_TrialBalance[Amount],Fact_TrialBalance[EntityId],"9455-4201 QI",Fact_TrialBalance[Category],"Operating Revenue",Fact_TrialBalance[FiscalYear],Dashboard!$H$6)</f>
        <v/>
      </c>
      <c r="D10" s="14">
        <f>SUMIFS(Fact_TrialBalance[Amount],Fact_TrialBalance[EntityId],"9455-4201 QI",Fact_TrialBalance[Category],"COGS",Fact_TrialBalance[FiscalYear],Dashboard!$H$6)</f>
        <v/>
      </c>
      <c r="E10" s="14">
        <f>SUMIFS(Fact_TrialBalance[Amount],Fact_TrialBalance[EntityId],"9455-4201 QI",Fact_TrialBalance[Category],"Payroll &amp; Benefits",Fact_TrialBalance[FiscalYear],Dashboard!$H$6)</f>
        <v/>
      </c>
      <c r="F10" s="14">
        <f>SUMIFS(Fact_TrialBalance[Amount],Fact_TrialBalance[EntityId],"9455-4201 QI",Fact_TrialBalance[Category],"Occupancy",Fact_TrialBalance[FiscalYear],Dashboard!$H$6)</f>
        <v/>
      </c>
      <c r="G10" s="14">
        <f>SUMIFS(Fact_TrialBalance[Amount],Fact_TrialBalance[EntityId],"9455-4201 QI",Fact_TrialBalance[Category],"Interest &amp; Financing",Fact_TrialBalance[FiscalYear],Dashboard!$H$6)</f>
        <v/>
      </c>
      <c r="H10" s="14">
        <f>SUMIFS(Fact_TrialBalance[Amount],Fact_TrialBalance[EntityId],"9455-4201 QI",Fact_TrialBalance[Category],"Amortization",Fact_TrialBalance[FiscalYear],Dashboard!$H$6)</f>
        <v/>
      </c>
      <c r="I10" s="14">
        <f>SUMIFS(Fact_TrialBalance[Amount],Fact_TrialBalance[EntityId],"9455-4201 QI",Fact_TrialBalance[Category],"Income Tax",Fact_TrialBalance[FiscalYear],Dashboard!$H$6)</f>
        <v/>
      </c>
      <c r="J10" s="14">
        <f>-(SUMIFS(Fact_TrialBalance[Amount],Fact_TrialBalance[EntityId],"9455-4201 QI",Fact_TrialBalance[FiscalYear],Dashboard!$H$6)-SUMPRODUCT((Fact_TrialBalance[EntityId]="9455-4201 QI")*(Fact_TrialBalance[FiscalYear]=Dashboard!$H$6)*(ISNUMBER(MATCH(Fact_TrialBalance[Category],{"Interest &amp; Financing","Amortization","Income Tax"},0)))*Fact_TrialBalance[Amount]))</f>
        <v/>
      </c>
      <c r="K10" s="14">
        <f>-SUMIFS(Fact_TrialBalance[Amount],Fact_TrialBalance[EntityId],"9455-4201 QI",Fact_TrialBalance[FiscalYear],Dashboard!$H$6)</f>
        <v/>
      </c>
    </row>
    <row r="11">
      <c r="A11" t="inlineStr">
        <is>
          <t>9108-6876 Québec Inc.</t>
        </is>
      </c>
      <c r="B11" t="inlineStr">
        <is>
          <t>Hospitality OpCo</t>
        </is>
      </c>
      <c r="C11" s="14">
        <f>-SUMIFS(Fact_TrialBalance[Amount],Fact_TrialBalance[EntityId],"9108-6876 QI",Fact_TrialBalance[Category],"Operating Revenue",Fact_TrialBalance[FiscalYear],Dashboard!$H$6)</f>
        <v/>
      </c>
      <c r="D11" s="14">
        <f>SUMIFS(Fact_TrialBalance[Amount],Fact_TrialBalance[EntityId],"9108-6876 QI",Fact_TrialBalance[Category],"COGS",Fact_TrialBalance[FiscalYear],Dashboard!$H$6)</f>
        <v/>
      </c>
      <c r="E11" s="14">
        <f>SUMIFS(Fact_TrialBalance[Amount],Fact_TrialBalance[EntityId],"9108-6876 QI",Fact_TrialBalance[Category],"Payroll &amp; Benefits",Fact_TrialBalance[FiscalYear],Dashboard!$H$6)</f>
        <v/>
      </c>
      <c r="F11" s="14">
        <f>SUMIFS(Fact_TrialBalance[Amount],Fact_TrialBalance[EntityId],"9108-6876 QI",Fact_TrialBalance[Category],"Occupancy",Fact_TrialBalance[FiscalYear],Dashboard!$H$6)</f>
        <v/>
      </c>
      <c r="G11" s="14">
        <f>SUMIFS(Fact_TrialBalance[Amount],Fact_TrialBalance[EntityId],"9108-6876 QI",Fact_TrialBalance[Category],"Interest &amp; Financing",Fact_TrialBalance[FiscalYear],Dashboard!$H$6)</f>
        <v/>
      </c>
      <c r="H11" s="14">
        <f>SUMIFS(Fact_TrialBalance[Amount],Fact_TrialBalance[EntityId],"9108-6876 QI",Fact_TrialBalance[Category],"Amortization",Fact_TrialBalance[FiscalYear],Dashboard!$H$6)</f>
        <v/>
      </c>
      <c r="I11" s="14">
        <f>SUMIFS(Fact_TrialBalance[Amount],Fact_TrialBalance[EntityId],"9108-6876 QI",Fact_TrialBalance[Category],"Income Tax",Fact_TrialBalance[FiscalYear],Dashboard!$H$6)</f>
        <v/>
      </c>
      <c r="J11" s="14">
        <f>-(SUMIFS(Fact_TrialBalance[Amount],Fact_TrialBalance[EntityId],"9108-6876 QI",Fact_TrialBalance[FiscalYear],Dashboard!$H$6)-SUMPRODUCT((Fact_TrialBalance[EntityId]="9108-6876 QI")*(Fact_TrialBalance[FiscalYear]=Dashboard!$H$6)*(ISNUMBER(MATCH(Fact_TrialBalance[Category],{"Interest &amp; Financing","Amortization","Income Tax"},0)))*Fact_TrialBalance[Amount]))</f>
        <v/>
      </c>
      <c r="K11" s="14">
        <f>-SUMIFS(Fact_TrialBalance[Amount],Fact_TrialBalance[EntityId],"9108-6876 QI",Fact_TrialBalance[FiscalYear],Dashboard!$H$6)</f>
        <v/>
      </c>
    </row>
    <row r="12">
      <c r="A12" t="inlineStr">
        <is>
          <t>Bistro Guru Inc.</t>
        </is>
      </c>
      <c r="B12" t="inlineStr">
        <is>
          <t>Restaurant OpCo</t>
        </is>
      </c>
      <c r="C12" s="14">
        <f>-SUMIFS(Fact_TrialBalance[Amount],Fact_TrialBalance[EntityId],"N/A",Fact_TrialBalance[Category],"Operating Revenue",Fact_TrialBalance[FiscalYear],Dashboard!$H$6)</f>
        <v/>
      </c>
      <c r="D12" s="14">
        <f>SUMIFS(Fact_TrialBalance[Amount],Fact_TrialBalance[EntityId],"N/A",Fact_TrialBalance[Category],"COGS",Fact_TrialBalance[FiscalYear],Dashboard!$H$6)</f>
        <v/>
      </c>
      <c r="E12" s="14">
        <f>SUMIFS(Fact_TrialBalance[Amount],Fact_TrialBalance[EntityId],"N/A",Fact_TrialBalance[Category],"Payroll &amp; Benefits",Fact_TrialBalance[FiscalYear],Dashboard!$H$6)</f>
        <v/>
      </c>
      <c r="F12" s="14">
        <f>SUMIFS(Fact_TrialBalance[Amount],Fact_TrialBalance[EntityId],"N/A",Fact_TrialBalance[Category],"Occupancy",Fact_TrialBalance[FiscalYear],Dashboard!$H$6)</f>
        <v/>
      </c>
      <c r="G12" s="14">
        <f>SUMIFS(Fact_TrialBalance[Amount],Fact_TrialBalance[EntityId],"N/A",Fact_TrialBalance[Category],"Interest &amp; Financing",Fact_TrialBalance[FiscalYear],Dashboard!$H$6)</f>
        <v/>
      </c>
      <c r="H12" s="14">
        <f>SUMIFS(Fact_TrialBalance[Amount],Fact_TrialBalance[EntityId],"N/A",Fact_TrialBalance[Category],"Amortization",Fact_TrialBalance[FiscalYear],Dashboard!$H$6)</f>
        <v/>
      </c>
      <c r="I12" s="14">
        <f>SUMIFS(Fact_TrialBalance[Amount],Fact_TrialBalance[EntityId],"N/A",Fact_TrialBalance[Category],"Income Tax",Fact_TrialBalance[FiscalYear],Dashboard!$H$6)</f>
        <v/>
      </c>
      <c r="J12" s="14">
        <f>-(SUMIFS(Fact_TrialBalance[Amount],Fact_TrialBalance[EntityId],"N/A",Fact_TrialBalance[FiscalYear],Dashboard!$H$6)-SUMPRODUCT((Fact_TrialBalance[EntityId]="N/A")*(Fact_TrialBalance[FiscalYear]=Dashboard!$H$6)*(ISNUMBER(MATCH(Fact_TrialBalance[Category],{"Interest &amp; Financing","Amortization","Income Tax"},0)))*Fact_TrialBalance[Amount]))</f>
        <v/>
      </c>
      <c r="K12" s="14">
        <f>-SUMIFS(Fact_TrialBalance[Amount],Fact_TrialBalance[EntityId],"N/A",Fact_TrialBalance[FiscalYear],Dashboard!$H$6)</f>
        <v/>
      </c>
    </row>
    <row r="13">
      <c r="A13" t="inlineStr">
        <is>
          <t>9096-0436 Québec Inc.</t>
        </is>
      </c>
      <c r="B13" t="inlineStr">
        <is>
          <t>Restaurant OpCo</t>
        </is>
      </c>
      <c r="C13" s="14">
        <f>-SUMIFS(Fact_TrialBalance[Amount],Fact_TrialBalance[EntityId],"9096-0436 QI",Fact_TrialBalance[Category],"Operating Revenue",Fact_TrialBalance[FiscalYear],Dashboard!$H$6)</f>
        <v/>
      </c>
      <c r="D13" s="14">
        <f>SUMIFS(Fact_TrialBalance[Amount],Fact_TrialBalance[EntityId],"9096-0436 QI",Fact_TrialBalance[Category],"COGS",Fact_TrialBalance[FiscalYear],Dashboard!$H$6)</f>
        <v/>
      </c>
      <c r="E13" s="14">
        <f>SUMIFS(Fact_TrialBalance[Amount],Fact_TrialBalance[EntityId],"9096-0436 QI",Fact_TrialBalance[Category],"Payroll &amp; Benefits",Fact_TrialBalance[FiscalYear],Dashboard!$H$6)</f>
        <v/>
      </c>
      <c r="F13" s="14">
        <f>SUMIFS(Fact_TrialBalance[Amount],Fact_TrialBalance[EntityId],"9096-0436 QI",Fact_TrialBalance[Category],"Occupancy",Fact_TrialBalance[FiscalYear],Dashboard!$H$6)</f>
        <v/>
      </c>
      <c r="G13" s="14">
        <f>SUMIFS(Fact_TrialBalance[Amount],Fact_TrialBalance[EntityId],"9096-0436 QI",Fact_TrialBalance[Category],"Interest &amp; Financing",Fact_TrialBalance[FiscalYear],Dashboard!$H$6)</f>
        <v/>
      </c>
      <c r="H13" s="14">
        <f>SUMIFS(Fact_TrialBalance[Amount],Fact_TrialBalance[EntityId],"9096-0436 QI",Fact_TrialBalance[Category],"Amortization",Fact_TrialBalance[FiscalYear],Dashboard!$H$6)</f>
        <v/>
      </c>
      <c r="I13" s="14">
        <f>SUMIFS(Fact_TrialBalance[Amount],Fact_TrialBalance[EntityId],"9096-0436 QI",Fact_TrialBalance[Category],"Income Tax",Fact_TrialBalance[FiscalYear],Dashboard!$H$6)</f>
        <v/>
      </c>
      <c r="J13" s="14">
        <f>-(SUMIFS(Fact_TrialBalance[Amount],Fact_TrialBalance[EntityId],"9096-0436 QI",Fact_TrialBalance[FiscalYear],Dashboard!$H$6)-SUMPRODUCT((Fact_TrialBalance[EntityId]="9096-0436 QI")*(Fact_TrialBalance[FiscalYear]=Dashboard!$H$6)*(ISNUMBER(MATCH(Fact_TrialBalance[Category],{"Interest &amp; Financing","Amortization","Income Tax"},0)))*Fact_TrialBalance[Amount]))</f>
        <v/>
      </c>
      <c r="K13" s="14">
        <f>-SUMIFS(Fact_TrialBalance[Amount],Fact_TrialBalance[EntityId],"9096-0436 QI",Fact_TrialBalance[FiscalYear],Dashboard!$H$6)</f>
        <v/>
      </c>
    </row>
    <row r="14">
      <c r="A14" t="inlineStr">
        <is>
          <t>9455-8236 Québec Inc.</t>
        </is>
      </c>
      <c r="B14" t="inlineStr">
        <is>
          <t>Restaurant OpCo</t>
        </is>
      </c>
      <c r="C14" s="14">
        <f>-SUMIFS(Fact_TrialBalance[Amount],Fact_TrialBalance[EntityId],"9455-8236 QI",Fact_TrialBalance[Category],"Operating Revenue",Fact_TrialBalance[FiscalYear],Dashboard!$H$6)</f>
        <v/>
      </c>
      <c r="D14" s="14">
        <f>SUMIFS(Fact_TrialBalance[Amount],Fact_TrialBalance[EntityId],"9455-8236 QI",Fact_TrialBalance[Category],"COGS",Fact_TrialBalance[FiscalYear],Dashboard!$H$6)</f>
        <v/>
      </c>
      <c r="E14" s="14">
        <f>SUMIFS(Fact_TrialBalance[Amount],Fact_TrialBalance[EntityId],"9455-8236 QI",Fact_TrialBalance[Category],"Payroll &amp; Benefits",Fact_TrialBalance[FiscalYear],Dashboard!$H$6)</f>
        <v/>
      </c>
      <c r="F14" s="14">
        <f>SUMIFS(Fact_TrialBalance[Amount],Fact_TrialBalance[EntityId],"9455-8236 QI",Fact_TrialBalance[Category],"Occupancy",Fact_TrialBalance[FiscalYear],Dashboard!$H$6)</f>
        <v/>
      </c>
      <c r="G14" s="14">
        <f>SUMIFS(Fact_TrialBalance[Amount],Fact_TrialBalance[EntityId],"9455-8236 QI",Fact_TrialBalance[Category],"Interest &amp; Financing",Fact_TrialBalance[FiscalYear],Dashboard!$H$6)</f>
        <v/>
      </c>
      <c r="H14" s="14">
        <f>SUMIFS(Fact_TrialBalance[Amount],Fact_TrialBalance[EntityId],"9455-8236 QI",Fact_TrialBalance[Category],"Amortization",Fact_TrialBalance[FiscalYear],Dashboard!$H$6)</f>
        <v/>
      </c>
      <c r="I14" s="14">
        <f>SUMIFS(Fact_TrialBalance[Amount],Fact_TrialBalance[EntityId],"9455-8236 QI",Fact_TrialBalance[Category],"Income Tax",Fact_TrialBalance[FiscalYear],Dashboard!$H$6)</f>
        <v/>
      </c>
      <c r="J14" s="14">
        <f>-(SUMIFS(Fact_TrialBalance[Amount],Fact_TrialBalance[EntityId],"9455-8236 QI",Fact_TrialBalance[FiscalYear],Dashboard!$H$6)-SUMPRODUCT((Fact_TrialBalance[EntityId]="9455-8236 QI")*(Fact_TrialBalance[FiscalYear]=Dashboard!$H$6)*(ISNUMBER(MATCH(Fact_TrialBalance[Category],{"Interest &amp; Financing","Amortization","Income Tax"},0)))*Fact_TrialBalance[Amount]))</f>
        <v/>
      </c>
      <c r="K14" s="14">
        <f>-SUMIFS(Fact_TrialBalance[Amount],Fact_TrialBalance[EntityId],"9455-8236 QI",Fact_TrialBalance[FiscalYear],Dashboard!$H$6)</f>
        <v/>
      </c>
    </row>
    <row r="15">
      <c r="A15" t="inlineStr">
        <is>
          <t>9525-2854 Québec Inc.</t>
        </is>
      </c>
      <c r="B15" t="inlineStr">
        <is>
          <t>Restaurant OpCo</t>
        </is>
      </c>
      <c r="C15" s="14">
        <f>-SUMIFS(Fact_TrialBalance[Amount],Fact_TrialBalance[EntityId],"9525-2854 QI",Fact_TrialBalance[Category],"Operating Revenue",Fact_TrialBalance[FiscalYear],Dashboard!$H$6)</f>
        <v/>
      </c>
      <c r="D15" s="14">
        <f>SUMIFS(Fact_TrialBalance[Amount],Fact_TrialBalance[EntityId],"9525-2854 QI",Fact_TrialBalance[Category],"COGS",Fact_TrialBalance[FiscalYear],Dashboard!$H$6)</f>
        <v/>
      </c>
      <c r="E15" s="14">
        <f>SUMIFS(Fact_TrialBalance[Amount],Fact_TrialBalance[EntityId],"9525-2854 QI",Fact_TrialBalance[Category],"Payroll &amp; Benefits",Fact_TrialBalance[FiscalYear],Dashboard!$H$6)</f>
        <v/>
      </c>
      <c r="F15" s="14">
        <f>SUMIFS(Fact_TrialBalance[Amount],Fact_TrialBalance[EntityId],"9525-2854 QI",Fact_TrialBalance[Category],"Occupancy",Fact_TrialBalance[FiscalYear],Dashboard!$H$6)</f>
        <v/>
      </c>
      <c r="G15" s="14">
        <f>SUMIFS(Fact_TrialBalance[Amount],Fact_TrialBalance[EntityId],"9525-2854 QI",Fact_TrialBalance[Category],"Interest &amp; Financing",Fact_TrialBalance[FiscalYear],Dashboard!$H$6)</f>
        <v/>
      </c>
      <c r="H15" s="14">
        <f>SUMIFS(Fact_TrialBalance[Amount],Fact_TrialBalance[EntityId],"9525-2854 QI",Fact_TrialBalance[Category],"Amortization",Fact_TrialBalance[FiscalYear],Dashboard!$H$6)</f>
        <v/>
      </c>
      <c r="I15" s="14">
        <f>SUMIFS(Fact_TrialBalance[Amount],Fact_TrialBalance[EntityId],"9525-2854 QI",Fact_TrialBalance[Category],"Income Tax",Fact_TrialBalance[FiscalYear],Dashboard!$H$6)</f>
        <v/>
      </c>
      <c r="J15" s="14">
        <f>-(SUMIFS(Fact_TrialBalance[Amount],Fact_TrialBalance[EntityId],"9525-2854 QI",Fact_TrialBalance[FiscalYear],Dashboard!$H$6)-SUMPRODUCT((Fact_TrialBalance[EntityId]="9525-2854 QI")*(Fact_TrialBalance[FiscalYear]=Dashboard!$H$6)*(ISNUMBER(MATCH(Fact_TrialBalance[Category],{"Interest &amp; Financing","Amortization","Income Tax"},0)))*Fact_TrialBalance[Amount]))</f>
        <v/>
      </c>
      <c r="K15" s="14">
        <f>-SUMIFS(Fact_TrialBalance[Amount],Fact_TrialBalance[EntityId],"9525-2854 QI",Fact_TrialBalance[FiscalYear],Dashboard!$H$6)</f>
        <v/>
      </c>
    </row>
    <row r="16">
      <c r="A16" t="inlineStr">
        <is>
          <t>9366-1049 Québec Inc.</t>
        </is>
      </c>
      <c r="B16" t="inlineStr">
        <is>
          <t>Restaurant OpCo</t>
        </is>
      </c>
      <c r="C16" s="14">
        <f>-SUMIFS(Fact_TrialBalance[Amount],Fact_TrialBalance[EntityId],"9366-1049 QI",Fact_TrialBalance[Category],"Operating Revenue",Fact_TrialBalance[FiscalYear],Dashboard!$H$6)</f>
        <v/>
      </c>
      <c r="D16" s="14">
        <f>SUMIFS(Fact_TrialBalance[Amount],Fact_TrialBalance[EntityId],"9366-1049 QI",Fact_TrialBalance[Category],"COGS",Fact_TrialBalance[FiscalYear],Dashboard!$H$6)</f>
        <v/>
      </c>
      <c r="E16" s="14">
        <f>SUMIFS(Fact_TrialBalance[Amount],Fact_TrialBalance[EntityId],"9366-1049 QI",Fact_TrialBalance[Category],"Payroll &amp; Benefits",Fact_TrialBalance[FiscalYear],Dashboard!$H$6)</f>
        <v/>
      </c>
      <c r="F16" s="14">
        <f>SUMIFS(Fact_TrialBalance[Amount],Fact_TrialBalance[EntityId],"9366-1049 QI",Fact_TrialBalance[Category],"Occupancy",Fact_TrialBalance[FiscalYear],Dashboard!$H$6)</f>
        <v/>
      </c>
      <c r="G16" s="14">
        <f>SUMIFS(Fact_TrialBalance[Amount],Fact_TrialBalance[EntityId],"9366-1049 QI",Fact_TrialBalance[Category],"Interest &amp; Financing",Fact_TrialBalance[FiscalYear],Dashboard!$H$6)</f>
        <v/>
      </c>
      <c r="H16" s="14">
        <f>SUMIFS(Fact_TrialBalance[Amount],Fact_TrialBalance[EntityId],"9366-1049 QI",Fact_TrialBalance[Category],"Amortization",Fact_TrialBalance[FiscalYear],Dashboard!$H$6)</f>
        <v/>
      </c>
      <c r="I16" s="14">
        <f>SUMIFS(Fact_TrialBalance[Amount],Fact_TrialBalance[EntityId],"9366-1049 QI",Fact_TrialBalance[Category],"Income Tax",Fact_TrialBalance[FiscalYear],Dashboard!$H$6)</f>
        <v/>
      </c>
      <c r="J16" s="14">
        <f>-(SUMIFS(Fact_TrialBalance[Amount],Fact_TrialBalance[EntityId],"9366-1049 QI",Fact_TrialBalance[FiscalYear],Dashboard!$H$6)-SUMPRODUCT((Fact_TrialBalance[EntityId]="9366-1049 QI")*(Fact_TrialBalance[FiscalYear]=Dashboard!$H$6)*(ISNUMBER(MATCH(Fact_TrialBalance[Category],{"Interest &amp; Financing","Amortization","Income Tax"},0)))*Fact_TrialBalance[Amount]))</f>
        <v/>
      </c>
      <c r="K16" s="14">
        <f>-SUMIFS(Fact_TrialBalance[Amount],Fact_TrialBalance[EntityId],"9366-1049 QI",Fact_TrialBalance[FiscalYear],Dashboard!$H$6)</f>
        <v/>
      </c>
    </row>
    <row r="17">
      <c r="A17" t="inlineStr">
        <is>
          <t>9098-0558 Québec Inc.</t>
        </is>
      </c>
      <c r="B17" t="inlineStr">
        <is>
          <t>Restaurant OpCo</t>
        </is>
      </c>
      <c r="C17" s="14">
        <f>-SUMIFS(Fact_TrialBalance[Amount],Fact_TrialBalance[EntityId],"9098-0558 QI",Fact_TrialBalance[Category],"Operating Revenue",Fact_TrialBalance[FiscalYear],Dashboard!$H$6)</f>
        <v/>
      </c>
      <c r="D17" s="14">
        <f>SUMIFS(Fact_TrialBalance[Amount],Fact_TrialBalance[EntityId],"9098-0558 QI",Fact_TrialBalance[Category],"COGS",Fact_TrialBalance[FiscalYear],Dashboard!$H$6)</f>
        <v/>
      </c>
      <c r="E17" s="14">
        <f>SUMIFS(Fact_TrialBalance[Amount],Fact_TrialBalance[EntityId],"9098-0558 QI",Fact_TrialBalance[Category],"Payroll &amp; Benefits",Fact_TrialBalance[FiscalYear],Dashboard!$H$6)</f>
        <v/>
      </c>
      <c r="F17" s="14">
        <f>SUMIFS(Fact_TrialBalance[Amount],Fact_TrialBalance[EntityId],"9098-0558 QI",Fact_TrialBalance[Category],"Occupancy",Fact_TrialBalance[FiscalYear],Dashboard!$H$6)</f>
        <v/>
      </c>
      <c r="G17" s="14">
        <f>SUMIFS(Fact_TrialBalance[Amount],Fact_TrialBalance[EntityId],"9098-0558 QI",Fact_TrialBalance[Category],"Interest &amp; Financing",Fact_TrialBalance[FiscalYear],Dashboard!$H$6)</f>
        <v/>
      </c>
      <c r="H17" s="14">
        <f>SUMIFS(Fact_TrialBalance[Amount],Fact_TrialBalance[EntityId],"9098-0558 QI",Fact_TrialBalance[Category],"Amortization",Fact_TrialBalance[FiscalYear],Dashboard!$H$6)</f>
        <v/>
      </c>
      <c r="I17" s="14">
        <f>SUMIFS(Fact_TrialBalance[Amount],Fact_TrialBalance[EntityId],"9098-0558 QI",Fact_TrialBalance[Category],"Income Tax",Fact_TrialBalance[FiscalYear],Dashboard!$H$6)</f>
        <v/>
      </c>
      <c r="J17" s="14">
        <f>-(SUMIFS(Fact_TrialBalance[Amount],Fact_TrialBalance[EntityId],"9098-0558 QI",Fact_TrialBalance[FiscalYear],Dashboard!$H$6)-SUMPRODUCT((Fact_TrialBalance[EntityId]="9098-0558 QI")*(Fact_TrialBalance[FiscalYear]=Dashboard!$H$6)*(ISNUMBER(MATCH(Fact_TrialBalance[Category],{"Interest &amp; Financing","Amortization","Income Tax"},0)))*Fact_TrialBalance[Amount]))</f>
        <v/>
      </c>
      <c r="K17" s="14">
        <f>-SUMIFS(Fact_TrialBalance[Amount],Fact_TrialBalance[EntityId],"9098-0558 QI",Fact_TrialBalance[FiscalYear],Dashboard!$H$6)</f>
        <v/>
      </c>
    </row>
    <row r="18">
      <c r="A18" t="inlineStr">
        <is>
          <t>9504-7510 Québec Inc.</t>
        </is>
      </c>
      <c r="B18" t="inlineStr">
        <is>
          <t>Restaurant OpCo</t>
        </is>
      </c>
      <c r="C18" s="14">
        <f>-SUMIFS(Fact_TrialBalance[Amount],Fact_TrialBalance[EntityId],"9504-7510 QI",Fact_TrialBalance[Category],"Operating Revenue",Fact_TrialBalance[FiscalYear],Dashboard!$H$6)</f>
        <v/>
      </c>
      <c r="D18" s="14">
        <f>SUMIFS(Fact_TrialBalance[Amount],Fact_TrialBalance[EntityId],"9504-7510 QI",Fact_TrialBalance[Category],"COGS",Fact_TrialBalance[FiscalYear],Dashboard!$H$6)</f>
        <v/>
      </c>
      <c r="E18" s="14">
        <f>SUMIFS(Fact_TrialBalance[Amount],Fact_TrialBalance[EntityId],"9504-7510 QI",Fact_TrialBalance[Category],"Payroll &amp; Benefits",Fact_TrialBalance[FiscalYear],Dashboard!$H$6)</f>
        <v/>
      </c>
      <c r="F18" s="14">
        <f>SUMIFS(Fact_TrialBalance[Amount],Fact_TrialBalance[EntityId],"9504-7510 QI",Fact_TrialBalance[Category],"Occupancy",Fact_TrialBalance[FiscalYear],Dashboard!$H$6)</f>
        <v/>
      </c>
      <c r="G18" s="14">
        <f>SUMIFS(Fact_TrialBalance[Amount],Fact_TrialBalance[EntityId],"9504-7510 QI",Fact_TrialBalance[Category],"Interest &amp; Financing",Fact_TrialBalance[FiscalYear],Dashboard!$H$6)</f>
        <v/>
      </c>
      <c r="H18" s="14">
        <f>SUMIFS(Fact_TrialBalance[Amount],Fact_TrialBalance[EntityId],"9504-7510 QI",Fact_TrialBalance[Category],"Amortization",Fact_TrialBalance[FiscalYear],Dashboard!$H$6)</f>
        <v/>
      </c>
      <c r="I18" s="14">
        <f>SUMIFS(Fact_TrialBalance[Amount],Fact_TrialBalance[EntityId],"9504-7510 QI",Fact_TrialBalance[Category],"Income Tax",Fact_TrialBalance[FiscalYear],Dashboard!$H$6)</f>
        <v/>
      </c>
      <c r="J18" s="14">
        <f>-(SUMIFS(Fact_TrialBalance[Amount],Fact_TrialBalance[EntityId],"9504-7510 QI",Fact_TrialBalance[FiscalYear],Dashboard!$H$6)-SUMPRODUCT((Fact_TrialBalance[EntityId]="9504-7510 QI")*(Fact_TrialBalance[FiscalYear]=Dashboard!$H$6)*(ISNUMBER(MATCH(Fact_TrialBalance[Category],{"Interest &amp; Financing","Amortization","Income Tax"},0)))*Fact_TrialBalance[Amount]))</f>
        <v/>
      </c>
      <c r="K18" s="14">
        <f>-SUMIFS(Fact_TrialBalance[Amount],Fact_TrialBalance[EntityId],"9504-7510 QI",Fact_TrialBalance[FiscalYear],Dashboard!$H$6)</f>
        <v/>
      </c>
    </row>
    <row r="19">
      <c r="A19" t="inlineStr">
        <is>
          <t>2749-8567 Québec Inc.</t>
        </is>
      </c>
      <c r="B19" t="inlineStr">
        <is>
          <t>RealCo</t>
        </is>
      </c>
      <c r="C19" s="14">
        <f>-SUMIFS(Fact_TrialBalance[Amount],Fact_TrialBalance[EntityId],"2749-8567 QI",Fact_TrialBalance[Category],"Operating Revenue",Fact_TrialBalance[FiscalYear],Dashboard!$H$6)</f>
        <v/>
      </c>
      <c r="D19" s="14">
        <f>SUMIFS(Fact_TrialBalance[Amount],Fact_TrialBalance[EntityId],"2749-8567 QI",Fact_TrialBalance[Category],"COGS",Fact_TrialBalance[FiscalYear],Dashboard!$H$6)</f>
        <v/>
      </c>
      <c r="E19" s="14">
        <f>SUMIFS(Fact_TrialBalance[Amount],Fact_TrialBalance[EntityId],"2749-8567 QI",Fact_TrialBalance[Category],"Payroll &amp; Benefits",Fact_TrialBalance[FiscalYear],Dashboard!$H$6)</f>
        <v/>
      </c>
      <c r="F19" s="14">
        <f>SUMIFS(Fact_TrialBalance[Amount],Fact_TrialBalance[EntityId],"2749-8567 QI",Fact_TrialBalance[Category],"Occupancy",Fact_TrialBalance[FiscalYear],Dashboard!$H$6)</f>
        <v/>
      </c>
      <c r="G19" s="14">
        <f>SUMIFS(Fact_TrialBalance[Amount],Fact_TrialBalance[EntityId],"2749-8567 QI",Fact_TrialBalance[Category],"Interest &amp; Financing",Fact_TrialBalance[FiscalYear],Dashboard!$H$6)</f>
        <v/>
      </c>
      <c r="H19" s="14">
        <f>SUMIFS(Fact_TrialBalance[Amount],Fact_TrialBalance[EntityId],"2749-8567 QI",Fact_TrialBalance[Category],"Amortization",Fact_TrialBalance[FiscalYear],Dashboard!$H$6)</f>
        <v/>
      </c>
      <c r="I19" s="14">
        <f>SUMIFS(Fact_TrialBalance[Amount],Fact_TrialBalance[EntityId],"2749-8567 QI",Fact_TrialBalance[Category],"Income Tax",Fact_TrialBalance[FiscalYear],Dashboard!$H$6)</f>
        <v/>
      </c>
      <c r="J19" s="14">
        <f>-(SUMIFS(Fact_TrialBalance[Amount],Fact_TrialBalance[EntityId],"2749-8567 QI",Fact_TrialBalance[FiscalYear],Dashboard!$H$6)-SUMPRODUCT((Fact_TrialBalance[EntityId]="2749-8567 QI")*(Fact_TrialBalance[FiscalYear]=Dashboard!$H$6)*(ISNUMBER(MATCH(Fact_TrialBalance[Category],{"Interest &amp; Financing","Amortization","Income Tax"},0)))*Fact_TrialBalance[Amount]))</f>
        <v/>
      </c>
      <c r="K19" s="14">
        <f>-SUMIFS(Fact_TrialBalance[Amount],Fact_TrialBalance[EntityId],"2749-8567 QI",Fact_TrialBalance[FiscalYear],Dashboard!$H$6)</f>
        <v/>
      </c>
    </row>
  </sheetData>
  <mergeCells count="1">
    <mergeCell ref="A1:K2"/>
  </mergeCells>
  <conditionalFormatting sqref="K5:K19">
    <cfRule type="cellIs" priority="1" operator="lessThan" dxfId="0">
      <formula>0</formula>
    </cfRule>
  </conditionalFormatting>
  <printOptions horizontalCentered="0"/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H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3" customWidth="1" min="6" max="6"/>
    <col width="18" customWidth="1" min="7" max="7"/>
    <col width="18" customWidth="1" min="8" max="8"/>
  </cols>
  <sheetData>
    <row r="2">
      <c r="B2" s="12" t="inlineStr">
        <is>
          <t>Group Summary — driven by Dashboard fiscal-year selector</t>
        </is>
      </c>
      <c r="C2" s="2" t="n"/>
      <c r="D2" s="2" t="n"/>
      <c r="E2" s="2" t="n"/>
      <c r="F2" s="2" t="n"/>
      <c r="G2" s="2" t="n"/>
      <c r="H2" s="2" t="n"/>
    </row>
    <row r="3">
      <c r="C3" s="2" t="n"/>
      <c r="D3" s="2" t="n"/>
      <c r="E3" s="2" t="n"/>
      <c r="F3" s="2" t="n"/>
      <c r="G3" s="2" t="n"/>
      <c r="H3" s="2" t="n"/>
    </row>
    <row r="5">
      <c r="B5" s="16" t="inlineStr">
        <is>
          <t>15-entity group total (per Entity Register) — 3 entities pending WTB files: Sandhu &amp; Sandhu Enr., 2 trusts</t>
        </is>
      </c>
    </row>
    <row r="6">
      <c r="B6" s="7" t="inlineStr">
        <is>
          <t>GROUP REVENUE</t>
        </is>
      </c>
      <c r="C6" s="8" t="n"/>
      <c r="D6" s="10" t="inlineStr">
        <is>
          <t>GROUP EBITDA</t>
        </is>
      </c>
      <c r="E6" s="8" t="n"/>
      <c r="G6" s="7" t="inlineStr">
        <is>
          <t>GROUP NET INCOME</t>
        </is>
      </c>
      <c r="H6" s="8" t="n"/>
    </row>
    <row r="7">
      <c r="B7" s="9">
        <f>SUM('Entity Register'!C5:C19)</f>
        <v/>
      </c>
      <c r="C7" s="8" t="n"/>
      <c r="D7" s="9">
        <f>SUM('Entity Register'!J5:J19)</f>
        <v/>
      </c>
      <c r="E7" s="8" t="n"/>
      <c r="G7" s="9">
        <f>SUM('Entity Register'!K5:K19)</f>
        <v/>
      </c>
      <c r="H7" s="8" t="n"/>
    </row>
    <row r="8">
      <c r="B8" s="8" t="n"/>
      <c r="C8" s="8" t="n"/>
      <c r="D8" s="8" t="n"/>
      <c r="E8" s="8" t="n"/>
      <c r="G8" s="8" t="n"/>
      <c r="H8" s="8" t="n"/>
    </row>
    <row r="10">
      <c r="B10" s="10" t="inlineStr">
        <is>
          <t>GROUP INCOME TAX</t>
        </is>
      </c>
      <c r="C10" s="8" t="n"/>
      <c r="D10" s="10" t="inlineStr">
        <is>
          <t>EFFECTIVE TAX RATE</t>
        </is>
      </c>
      <c r="E10" s="8" t="n"/>
      <c r="G10" s="10" t="inlineStr">
        <is>
          <t>ENTITIES IN MODEL</t>
        </is>
      </c>
      <c r="H10" s="8" t="n"/>
    </row>
    <row r="11">
      <c r="B11" s="9">
        <f>SUM('Entity Register'!I5:I19)</f>
        <v/>
      </c>
      <c r="C11" s="8" t="n"/>
      <c r="D11" s="11">
        <f>IFERROR(SUM('Entity Register'!I5:I19)/(SUM('Entity Register'!K5:K19)+SUM('Entity Register'!I5:I19)),0)</f>
        <v/>
      </c>
      <c r="E11" s="8" t="n"/>
      <c r="G11" s="17">
        <f>COUNTA('Entity Register'!A5:A19)</f>
        <v/>
      </c>
      <c r="H11" s="8" t="n"/>
    </row>
    <row r="12">
      <c r="B12" s="8" t="n"/>
      <c r="C12" s="8" t="n"/>
      <c r="D12" s="8" t="n"/>
      <c r="E12" s="8" t="n"/>
      <c r="G12" s="8" t="n"/>
      <c r="H12" s="8" t="n"/>
    </row>
    <row r="15">
      <c r="B15" s="12" t="inlineStr">
        <is>
          <t>Revenue &amp; Net Income by Entity</t>
        </is>
      </c>
      <c r="C15" s="2" t="n"/>
      <c r="D15" s="2" t="n"/>
    </row>
    <row r="16">
      <c r="B16" s="13" t="inlineStr">
        <is>
          <t>EntityName</t>
        </is>
      </c>
      <c r="C16" s="13" t="inlineStr">
        <is>
          <t>Revenue</t>
        </is>
      </c>
      <c r="D16" s="13" t="inlineStr">
        <is>
          <t>Net Income</t>
        </is>
      </c>
    </row>
    <row r="17">
      <c r="B17">
        <f>'Entity Register'!A5</f>
        <v/>
      </c>
      <c r="C17" s="14">
        <f>'Entity Register'!C5</f>
        <v/>
      </c>
      <c r="D17" s="14">
        <f>'Entity Register'!K5</f>
        <v/>
      </c>
    </row>
    <row r="18">
      <c r="B18">
        <f>'Entity Register'!A6</f>
        <v/>
      </c>
      <c r="C18" s="14">
        <f>'Entity Register'!C6</f>
        <v/>
      </c>
      <c r="D18" s="14">
        <f>'Entity Register'!K6</f>
        <v/>
      </c>
    </row>
    <row r="19">
      <c r="B19">
        <f>'Entity Register'!A7</f>
        <v/>
      </c>
      <c r="C19" s="14">
        <f>'Entity Register'!C7</f>
        <v/>
      </c>
      <c r="D19" s="14">
        <f>'Entity Register'!K7</f>
        <v/>
      </c>
    </row>
    <row r="20">
      <c r="B20">
        <f>'Entity Register'!A8</f>
        <v/>
      </c>
      <c r="C20" s="14">
        <f>'Entity Register'!C8</f>
        <v/>
      </c>
      <c r="D20" s="14">
        <f>'Entity Register'!K8</f>
        <v/>
      </c>
    </row>
    <row r="21">
      <c r="B21">
        <f>'Entity Register'!A9</f>
        <v/>
      </c>
      <c r="C21" s="14">
        <f>'Entity Register'!C9</f>
        <v/>
      </c>
      <c r="D21" s="14">
        <f>'Entity Register'!K9</f>
        <v/>
      </c>
    </row>
    <row r="22">
      <c r="B22">
        <f>'Entity Register'!A10</f>
        <v/>
      </c>
      <c r="C22" s="14">
        <f>'Entity Register'!C10</f>
        <v/>
      </c>
      <c r="D22" s="14">
        <f>'Entity Register'!K10</f>
        <v/>
      </c>
    </row>
    <row r="23">
      <c r="B23">
        <f>'Entity Register'!A11</f>
        <v/>
      </c>
      <c r="C23" s="14">
        <f>'Entity Register'!C11</f>
        <v/>
      </c>
      <c r="D23" s="14">
        <f>'Entity Register'!K11</f>
        <v/>
      </c>
    </row>
    <row r="24">
      <c r="B24">
        <f>'Entity Register'!A12</f>
        <v/>
      </c>
      <c r="C24" s="14">
        <f>'Entity Register'!C12</f>
        <v/>
      </c>
      <c r="D24" s="14">
        <f>'Entity Register'!K12</f>
        <v/>
      </c>
    </row>
    <row r="25">
      <c r="B25">
        <f>'Entity Register'!A13</f>
        <v/>
      </c>
      <c r="C25" s="14">
        <f>'Entity Register'!C13</f>
        <v/>
      </c>
      <c r="D25" s="14">
        <f>'Entity Register'!K13</f>
        <v/>
      </c>
    </row>
    <row r="26">
      <c r="B26">
        <f>'Entity Register'!A14</f>
        <v/>
      </c>
      <c r="C26" s="14">
        <f>'Entity Register'!C14</f>
        <v/>
      </c>
      <c r="D26" s="14">
        <f>'Entity Register'!K14</f>
        <v/>
      </c>
    </row>
    <row r="27">
      <c r="B27">
        <f>'Entity Register'!A15</f>
        <v/>
      </c>
      <c r="C27" s="14">
        <f>'Entity Register'!C15</f>
        <v/>
      </c>
      <c r="D27" s="14">
        <f>'Entity Register'!K15</f>
        <v/>
      </c>
    </row>
    <row r="28">
      <c r="B28">
        <f>'Entity Register'!A16</f>
        <v/>
      </c>
      <c r="C28" s="14">
        <f>'Entity Register'!C16</f>
        <v/>
      </c>
      <c r="D28" s="14">
        <f>'Entity Register'!K16</f>
        <v/>
      </c>
    </row>
    <row r="29">
      <c r="B29">
        <f>'Entity Register'!A17</f>
        <v/>
      </c>
      <c r="C29" s="14">
        <f>'Entity Register'!C17</f>
        <v/>
      </c>
      <c r="D29" s="14">
        <f>'Entity Register'!K17</f>
        <v/>
      </c>
    </row>
    <row r="30">
      <c r="B30">
        <f>'Entity Register'!A18</f>
        <v/>
      </c>
      <c r="C30" s="14">
        <f>'Entity Register'!C18</f>
        <v/>
      </c>
      <c r="D30" s="14">
        <f>'Entity Register'!K18</f>
        <v/>
      </c>
    </row>
    <row r="31">
      <c r="B31">
        <f>'Entity Register'!A19</f>
        <v/>
      </c>
      <c r="C31" s="14">
        <f>'Entity Register'!C19</f>
        <v/>
      </c>
      <c r="D31" s="14">
        <f>'Entity Register'!K19</f>
        <v/>
      </c>
    </row>
  </sheetData>
  <mergeCells count="14">
    <mergeCell ref="D6:E6"/>
    <mergeCell ref="B6:C6"/>
    <mergeCell ref="G7:H8"/>
    <mergeCell ref="D10:E10"/>
    <mergeCell ref="D7:E8"/>
    <mergeCell ref="B7:C8"/>
    <mergeCell ref="B11:C12"/>
    <mergeCell ref="G10:H10"/>
    <mergeCell ref="B10:C10"/>
    <mergeCell ref="D11:E12"/>
    <mergeCell ref="G11:H12"/>
    <mergeCell ref="B2:H3"/>
    <mergeCell ref="G6:H6"/>
    <mergeCell ref="B15:D15"/>
  </mergeCell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8" t="inlineStr">
        <is>
          <t>SANDHU GROUP INTERACTIVE DASHBOARD — Build Notes</t>
        </is>
      </c>
    </row>
    <row r="2">
      <c r="A2" s="19" t="inlineStr"/>
    </row>
    <row r="3">
      <c r="A3" s="19" t="inlineStr">
        <is>
          <t>Scope: 15 of 18 entities (all except Sandhu &amp; Sandhu Enr., Gurpreet Sandhu Trust, Harpreet Sandhu Trust — WTB files not yet supplied for these).</t>
        </is>
      </c>
    </row>
    <row r="4">
      <c r="A4" s="19" t="inlineStr"/>
    </row>
    <row r="5">
      <c r="A5" s="19" t="inlineStr">
        <is>
          <t>Restaurant IndiaRosa 2 (9455-8236 QI) was rebuilt in this workbook directly from its CaseWare WTB export (Res_In2_2025_WTB.xlsx), categorized via GIFI_Master_Mapping_v2.xlsx, and matches every Section 6 benchmark exactly:</t>
        </is>
      </c>
    </row>
    <row r="6">
      <c r="A6" s="20" t="inlineStr">
        <is>
          <t xml:space="preserve">  Net Income FY2025 = $462,894.92 (benchmark $462,894.92) — EXACT</t>
        </is>
      </c>
    </row>
    <row r="7">
      <c r="A7" s="20" t="inlineStr">
        <is>
          <t xml:space="preserve">  Net Income FY2024 = $736,959.45 (benchmark $736,959.45) — EXACT</t>
        </is>
      </c>
    </row>
    <row r="8">
      <c r="A8" s="20" t="inlineStr">
        <is>
          <t xml:space="preserve">  All 12 FY2025 category totals match the Section 6 breakdown exactly.</t>
        </is>
      </c>
    </row>
    <row r="9">
      <c r="A9" s="19" t="inlineStr"/>
    </row>
    <row r="10">
      <c r="A10" s="19" t="inlineStr">
        <is>
          <t>Three accounts in the IndiaRosa 2 WTB carry a GIFI code that contradicts the account name; these were treated as account-level overrides (not changes to the master GIFI mapping, which is presumed correct for other entities' use of the same codes):</t>
        </is>
      </c>
    </row>
    <row r="11">
      <c r="A11" s="20" t="inlineStr">
        <is>
          <t xml:space="preserve">  Acct 45130 'Valet service' + 45125 'Musical entertainment' — tagged GIFI 9270 (Amortization) -&gt; reclassified to Marketing &amp; Entertainment.</t>
        </is>
      </c>
    </row>
    <row r="12">
      <c r="A12" s="20" t="inlineStr">
        <is>
          <t xml:space="preserve">  Acct 44215 'Rent - Ford' + 33455 'Equipment rental' + 45250 'Travelling - gas &amp; repairs' — tagged GIFI 8461 (COGS) -&gt; reclassified to Other Operating.</t>
        </is>
      </c>
    </row>
    <row r="13">
      <c r="A13" s="20" t="inlineStr">
        <is>
          <t xml:space="preserve">  Acct 45150 'Consulting fees' — tagged GIFI 8863 (Administrative) -&gt; reclassified to Other Operating per user confirmation (matches Section 6 Admin $99,729 / Other Operating $79,976 exactly).</t>
        </is>
      </c>
    </row>
    <row r="14">
      <c r="A14" s="19" t="inlineStr"/>
    </row>
    <row r="15">
      <c r="A15" s="19" t="inlineStr">
        <is>
          <t>The other 14 entities' figures are carried over unchanged from Sandhu_Excel_Model_Data.xlsx (the pre-built starter kit) and were NOT re-derived from raw WTB files in this session — only IndiaRosa 2 was rebuilt from source and fully re-validated.</t>
        </is>
      </c>
    </row>
    <row r="16">
      <c r="A16" s="19" t="inlineStr"/>
    </row>
    <row r="17">
      <c r="A17" s="21" t="inlineStr">
        <is>
          <t>UNRESOLVED CONFLICT FOUND: Bistro Guru Inc. FY2025 Net Income is -$45,954.06 in this carried-over data, but the Validation Log tab in GIFI_Master_Mapping_v2.xlsx independently validated it at -$30,118.89 for the same entity/year — a $15,835.17 discrepancy between two of the project's own source files. Not resolved here (no raw WTB for Bistro Guru in this session) — needs the client's WTB file to re-derive and confirm which figure is correct.</t>
        </is>
      </c>
    </row>
    <row r="18">
      <c r="A18" s="19" t="inlineStr"/>
    </row>
    <row r="19">
      <c r="A19" s="19" t="inlineStr">
        <is>
          <t>NOT YET INCLUDED: Corporate Taxprep data (SBD, GRIP, RDTOH, CDA, Part I tax payable). Per the handoff doc, RDTOH and CDA field mappings are unverified — these will not be added until cross-validated against a known figure, and will be confirmed with you before being treated as reliable.</t>
        </is>
      </c>
    </row>
    <row r="20">
      <c r="A20" s="19" t="inlineStr"/>
    </row>
    <row r="21">
      <c r="A21" s="19" t="inlineStr">
        <is>
          <t>Interactivity: this workbook uses dropdown selectors (Dashboard!C6 Entity, Dashboard!H6 Fiscal Year) driving live SUMIFS formulas and charts — no Power Pivot/DAX setup required, works in any version of Excel. Entity Register and raw data sheets are Excel Tables with built-in filter dropdowns per column.</t>
        </is>
      </c>
    </row>
    <row r="22">
      <c r="A22" s="19" t="inlineStr"/>
    </row>
    <row r="23">
      <c r="A23" s="19" t="inlineStr">
        <is>
          <t>Recalculated and verified in LibreOffice headless — see verification log for the exact cell values confirmed.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2026-09-16T13:48:31Z</dcterms:created>
  <dcterms:modified xsi:type="dcterms:W3CDTF">2026-09-16T13:48:31Z</dcterms:modified>
</cp:coreProperties>
</file>