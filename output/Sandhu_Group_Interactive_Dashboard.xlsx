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tables/table1.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tables/table3.xml" ContentType="application/vnd.openxmlformats-officedocument.spreadsheetml.table+xml"/>
  <Override PartName="/xl/worksheets/sheet8.xml" ContentType="application/vnd.openxmlformats-officedocument.spreadsheetml.worksheet+xml"/>
  <Override PartName="/xl/tables/table4.xml" ContentType="application/vnd.openxmlformats-officedocument.spreadsheetml.table+xml"/>
  <Override PartName="/xl/worksheets/sheet9.xml" ContentType="application/vnd.openxmlformats-officedocument.spreadsheetml.worksheet+xml"/>
  <Override PartName="/xl/tables/table5.xml" ContentType="application/vnd.openxmlformats-officedocument.spreadsheetml.table+xml"/>
  <Override PartName="/xl/worksheets/sheet10.xml" ContentType="application/vnd.openxmlformats-officedocument.spreadsheetml.worksheet+xml"/>
  <Override PartName="/xl/tables/table6.xml" ContentType="application/vnd.openxmlformats-officedocument.spreadsheetml.table+xml"/>
  <Override PartName="/xl/worksheets/sheet11.xml" ContentType="application/vnd.openxmlformats-officedocument.spreadsheetml.worksheet+xml"/>
  <Override PartName="/xl/tables/table7.xml" ContentType="application/vnd.openxmlformats-officedocument.spreadsheetml.table+xml"/>
  <Override PartName="/xl/worksheets/sheet12.xml" ContentType="application/vnd.openxmlformats-officedocument.spreadsheetml.worksheet+xml"/>
  <Override PartName="/xl/tables/table8.xml" ContentType="application/vnd.openxmlformats-officedocument.spreadsheetml.table+xml"/>
  <Override PartName="/xl/worksheets/sheet13.xml" ContentType="application/vnd.openxmlformats-officedocument.spreadsheetml.worksheet+xml"/>
  <Override PartName="/xl/tables/table9.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 Exec Summary" sheetId="1" state="visible" r:id="rId1"/>
    <sheet name="02 Profitability" sheetId="2" state="visible" r:id="rId2"/>
    <sheet name="03 Group Summary" sheetId="3" state="visible" r:id="rId3"/>
    <sheet name="04 Tax Position" sheetId="4" state="visible" r:id="rId4"/>
    <sheet name="Entity Register" sheetId="5" state="visible" r:id="rId5"/>
    <sheet name="Notes &amp; Validation" sheetId="6" state="visible" r:id="rId6"/>
    <sheet name="Dim_Entity" sheetId="7" state="visible" r:id="rId7"/>
    <sheet name="Dim_Calendar" sheetId="8" state="visible" r:id="rId8"/>
    <sheet name="Fact_TrialBalance" sheetId="9" state="visible" r:id="rId9"/>
    <sheet name="PQ_Dim_FilePrefix" sheetId="10" state="visible" r:id="rId10"/>
    <sheet name="PQ_GIFI_Mapping" sheetId="11" state="visible" r:id="rId11"/>
    <sheet name="PQ_Fallback_MapNo" sheetId="12" state="visible" r:id="rId12"/>
    <sheet name="PQ_Exceptions" sheetId="13" state="visible" r:id="rId13"/>
  </sheets>
  <definedNames/>
  <calcPr calcId="124519" fullCalcOnLoad="1"/>
</workbook>
</file>

<file path=xl/styles.xml><?xml version="1.0" encoding="utf-8"?>
<styleSheet xmlns="http://schemas.openxmlformats.org/spreadsheetml/2006/main">
  <numFmts count="2">
    <numFmt numFmtId="164" formatCode="#,##0;[RED](#,##0)"/>
    <numFmt numFmtId="165" formatCode="0.0%"/>
  </numFmts>
  <fonts count="42">
    <font>
      <name val="Calibri"/>
      <family val="2"/>
      <color theme="1"/>
      <sz val="11"/>
      <scheme val="minor"/>
    </font>
    <font>
      <b val="1"/>
      <color rgb="00FFFFFF"/>
    </font>
    <font>
      <name val="Calibri"/>
      <b val="1"/>
      <color rgb="001C2B45"/>
      <sz val="9"/>
    </font>
    <font>
      <b val="1"/>
      <color rgb="006B7280"/>
      <sz val="8"/>
    </font>
    <font>
      <b val="1"/>
      <color rgb="001C2B45"/>
      <sz val="11"/>
    </font>
    <font>
      <name val="Calibri"/>
      <b val="1"/>
      <color rgb="001C2B45"/>
      <sz val="20"/>
    </font>
    <font>
      <i val="1"/>
      <color rgb="006B7280"/>
      <sz val="10"/>
    </font>
    <font>
      <b val="1"/>
      <color rgb="001C2B45"/>
      <sz val="9"/>
    </font>
    <font>
      <color rgb="001C2B45"/>
      <sz val="9"/>
      <u val="single"/>
    </font>
    <font>
      <i val="1"/>
      <color rgb="00C7C2B8"/>
      <sz val="9"/>
    </font>
    <font>
      <i val="1"/>
      <color rgb="006B7280"/>
      <sz val="9.5"/>
    </font>
    <font>
      <name val="Calibri"/>
      <b val="1"/>
      <color rgb="006B7280"/>
      <sz val="9"/>
    </font>
    <font>
      <name val="Calibri"/>
      <b val="1"/>
      <color rgb="001C2B45"/>
      <sz val="17"/>
    </font>
    <font>
      <i val="1"/>
      <color rgb="006B7280"/>
      <sz val="8"/>
    </font>
    <font>
      <b val="1"/>
      <color rgb="001C2B45"/>
      <sz val="13"/>
    </font>
    <font>
      <b val="1"/>
      <color rgb="001E6B52"/>
      <sz val="11"/>
    </font>
    <font>
      <color rgb="001A1A1A"/>
      <sz val="9.5"/>
    </font>
    <font>
      <b val="1"/>
      <color rgb="00C9A227"/>
      <sz val="11"/>
    </font>
    <font>
      <b val="1"/>
      <color rgb="006B7280"/>
      <sz val="11"/>
    </font>
    <font>
      <b val="1"/>
      <color rgb="00B3261E"/>
      <sz val="11"/>
    </font>
    <font>
      <b val="1"/>
      <color rgb="001E6B52"/>
      <sz val="9"/>
    </font>
    <font>
      <b val="1"/>
      <color rgb="001C2B45"/>
      <sz val="12"/>
    </font>
    <font>
      <b val="1"/>
      <color rgb="00B3261E"/>
      <sz val="9"/>
    </font>
    <font>
      <i val="1"/>
      <color rgb="006B7280"/>
      <sz val="8.5"/>
    </font>
    <font>
      <color rgb="006B7280"/>
      <sz val="8"/>
    </font>
    <font>
      <b val="1"/>
      <color rgb="001C2B45"/>
      <sz val="9"/>
      <u val="single"/>
    </font>
    <font>
      <name val="Calibri"/>
      <b val="1"/>
      <color rgb="00FFFFFF"/>
      <sz val="20"/>
    </font>
    <font>
      <name val="Calibri"/>
      <i val="1"/>
      <color rgb="00D9E2EC"/>
      <sz val="11"/>
    </font>
    <font>
      <name val="Calibri"/>
      <b val="1"/>
      <color rgb="006B7280"/>
      <sz val="10"/>
    </font>
    <font>
      <name val="Calibri"/>
      <b val="1"/>
      <color rgb="00FFFFFF"/>
      <sz val="10"/>
    </font>
    <font>
      <name val="Calibri"/>
      <b val="1"/>
      <color rgb="001C2B45"/>
      <sz val="18"/>
    </font>
    <font>
      <name val="Calibri"/>
      <b val="1"/>
      <color rgb="00FFFFFF"/>
      <sz val="13"/>
    </font>
    <font>
      <b val="1"/>
      <color rgb="001C2B45"/>
    </font>
    <font>
      <color rgb="00B3261E"/>
      <sz val="9.5"/>
    </font>
    <font>
      <name val="Calibri"/>
      <b val="1"/>
      <color rgb="001C2B45"/>
      <sz val="11"/>
    </font>
    <font>
      <i val="1"/>
      <color rgb="006B7280"/>
      <sz val="9"/>
    </font>
    <font>
      <b val="1"/>
      <color rgb="00FFFFFF"/>
      <sz val="9"/>
    </font>
    <font>
      <b val="1"/>
      <color rgb="001C2B45"/>
      <sz val="14"/>
    </font>
    <font>
      <color rgb="001A1A1A"/>
      <sz val="10"/>
    </font>
    <font>
      <b val="1"/>
      <color rgb="00B3261E"/>
      <sz val="10"/>
    </font>
    <font>
      <b val="1"/>
      <color rgb="001E6B52"/>
      <sz val="10"/>
    </font>
    <font>
      <color rgb="000E7C7B"/>
      <sz val="10"/>
    </font>
  </fonts>
  <fills count="10">
    <fill>
      <patternFill/>
    </fill>
    <fill>
      <patternFill patternType="gray125"/>
    </fill>
    <fill>
      <patternFill patternType="solid">
        <fgColor rgb="001C2B45"/>
      </patternFill>
    </fill>
    <fill>
      <patternFill patternType="solid">
        <fgColor rgb="00F5F1E8"/>
      </patternFill>
    </fill>
    <fill>
      <patternFill patternType="solid">
        <fgColor rgb="00C9A227"/>
      </patternFill>
    </fill>
    <fill>
      <patternFill patternType="solid">
        <fgColor rgb="00FFFFFF"/>
      </patternFill>
    </fill>
    <fill>
      <patternFill patternType="solid">
        <fgColor rgb="000E7C7B"/>
      </patternFill>
    </fill>
    <fill>
      <patternFill patternType="solid">
        <fgColor rgb="006B7280"/>
      </patternFill>
    </fill>
    <fill>
      <patternFill patternType="solid">
        <fgColor rgb="001E6B52"/>
      </patternFill>
    </fill>
    <fill>
      <patternFill patternType="solid">
        <fgColor rgb="008A6D3B"/>
      </patternFill>
    </fill>
  </fills>
  <borders count="13">
    <border>
      <left/>
      <right/>
      <top/>
      <bottom/>
      <diagonal/>
    </border>
    <border>
      <left style="thin">
        <color rgb="00D0D5DD"/>
      </left>
      <right style="thin">
        <color rgb="00D0D5DD"/>
      </right>
      <top style="thin">
        <color rgb="00D0D5DD"/>
      </top>
      <bottom style="thin">
        <color rgb="00D0D5DD"/>
      </bottom>
    </border>
    <border>
      <bottom style="medium">
        <color rgb="00C9A227"/>
      </bottom>
    </border>
    <border>
      <bottom style="thin">
        <color rgb="00D8D2C4"/>
      </bottom>
    </border>
    <border>
      <left style="thin">
        <color rgb="00D0D5DD"/>
      </left>
      <top style="thin">
        <color rgb="00D0D5DD"/>
      </top>
    </border>
    <border>
      <top style="thin">
        <color rgb="00D0D5DD"/>
      </top>
    </border>
    <border>
      <right style="thin">
        <color rgb="00D0D5DD"/>
      </right>
      <top style="thin">
        <color rgb="00D0D5DD"/>
      </top>
    </border>
    <border>
      <left style="thin">
        <color rgb="00D0D5DD"/>
      </left>
    </border>
    <border/>
    <border>
      <right style="thin">
        <color rgb="00D0D5DD"/>
      </right>
    </border>
    <border>
      <left style="thin">
        <color rgb="00D0D5DD"/>
      </left>
      <bottom style="thin">
        <color rgb="00D0D5DD"/>
      </bottom>
    </border>
    <border>
      <bottom style="thin">
        <color rgb="00D0D5DD"/>
      </bottom>
    </border>
    <border>
      <right style="thin">
        <color rgb="00D0D5DD"/>
      </right>
      <bottom style="thin">
        <color rgb="00D0D5DD"/>
      </bottom>
    </border>
  </borders>
  <cellStyleXfs count="1">
    <xf numFmtId="0" fontId="0" fillId="0" borderId="0"/>
  </cellStyleXfs>
  <cellXfs count="96">
    <xf numFmtId="0" fontId="0" fillId="0" borderId="0" pivotButton="0" quotePrefix="0" xfId="0"/>
    <xf numFmtId="0" fontId="0" fillId="3" borderId="0" pivotButton="0" quotePrefix="0" xfId="0"/>
    <xf numFmtId="0" fontId="2" fillId="4" borderId="0" applyAlignment="1" pivotButton="0" quotePrefix="0" xfId="0">
      <alignment horizontal="left" vertical="center" indent="1"/>
    </xf>
    <xf numFmtId="0" fontId="0" fillId="4" borderId="0" pivotButton="0" quotePrefix="0" xfId="0"/>
    <xf numFmtId="0" fontId="3" fillId="3" borderId="0" applyAlignment="1" pivotButton="0" quotePrefix="0" xfId="0">
      <alignment horizontal="right" vertical="center"/>
    </xf>
    <xf numFmtId="0" fontId="4" fillId="4" borderId="1" applyAlignment="1" pivotButton="0" quotePrefix="0" xfId="0">
      <alignment horizontal="center" vertical="center"/>
    </xf>
    <xf numFmtId="0" fontId="5" fillId="3" borderId="0" applyAlignment="1" pivotButton="0" quotePrefix="0" xfId="0">
      <alignment vertical="center"/>
    </xf>
    <xf numFmtId="0" fontId="6" fillId="3" borderId="0" pivotButton="0" quotePrefix="0" xfId="0"/>
    <xf numFmtId="0" fontId="7" fillId="3" borderId="2" pivotButton="0" quotePrefix="0" xfId="0"/>
    <xf numFmtId="0" fontId="8" fillId="3" borderId="0" pivotButton="0" quotePrefix="0" xfId="0"/>
    <xf numFmtId="0" fontId="9" fillId="3" borderId="0" pivotButton="0" quotePrefix="0" xfId="0"/>
    <xf numFmtId="0" fontId="9" fillId="0" borderId="0" pivotButton="0" quotePrefix="0" xfId="0"/>
    <xf numFmtId="0" fontId="0" fillId="3" borderId="3" pivotButton="0" quotePrefix="0" xfId="0"/>
    <xf numFmtId="0" fontId="10" fillId="3" borderId="0" applyAlignment="1" pivotButton="0" quotePrefix="0" xfId="0">
      <alignment vertical="top" wrapText="1"/>
    </xf>
    <xf numFmtId="0" fontId="11" fillId="5" borderId="1" applyAlignment="1" pivotButton="0" quotePrefix="0" xfId="0">
      <alignment horizontal="left" vertical="center" indent="1"/>
    </xf>
    <xf numFmtId="0" fontId="0" fillId="5" borderId="1" pivotButton="0" quotePrefix="0" xfId="0"/>
    <xf numFmtId="164" fontId="12" fillId="5" borderId="1" applyAlignment="1" pivotButton="0" quotePrefix="0" xfId="0">
      <alignment horizontal="left" vertical="center" indent="1"/>
    </xf>
    <xf numFmtId="165" fontId="12" fillId="5" borderId="1" applyAlignment="1" pivotButton="0" quotePrefix="0" xfId="0">
      <alignment horizontal="left" vertical="center" indent="1"/>
    </xf>
    <xf numFmtId="49" fontId="12" fillId="5" borderId="1" applyAlignment="1" pivotButton="0" quotePrefix="0" xfId="0">
      <alignment horizontal="left" vertical="center" indent="1"/>
    </xf>
    <xf numFmtId="0" fontId="13" fillId="3" borderId="0" applyAlignment="1" pivotButton="0" quotePrefix="0" xfId="0">
      <alignment horizontal="left" indent="1"/>
    </xf>
    <xf numFmtId="0" fontId="14" fillId="3" borderId="0" pivotButton="0" quotePrefix="0" xfId="0"/>
    <xf numFmtId="0" fontId="15" fillId="3" borderId="4" pivotButton="0" quotePrefix="0" xfId="0"/>
    <xf numFmtId="0" fontId="16" fillId="3" borderId="5" applyAlignment="1" pivotButton="0" quotePrefix="0" xfId="0">
      <alignment vertical="top" wrapText="1"/>
    </xf>
    <xf numFmtId="0" fontId="0" fillId="0" borderId="5" pivotButton="0" quotePrefix="0" xfId="0"/>
    <xf numFmtId="0" fontId="0" fillId="0" borderId="6" pivotButton="0" quotePrefix="0" xfId="0"/>
    <xf numFmtId="0" fontId="17" fillId="3" borderId="7" pivotButton="0" quotePrefix="0" xfId="0"/>
    <xf numFmtId="0" fontId="16" fillId="3" borderId="8" applyAlignment="1" pivotButton="0" quotePrefix="0" xfId="0">
      <alignment vertical="top" wrapText="1"/>
    </xf>
    <xf numFmtId="0" fontId="0" fillId="0" borderId="8" pivotButton="0" quotePrefix="0" xfId="0"/>
    <xf numFmtId="0" fontId="0" fillId="0" borderId="9" pivotButton="0" quotePrefix="0" xfId="0"/>
    <xf numFmtId="0" fontId="18" fillId="3" borderId="7" pivotButton="0" quotePrefix="0" xfId="0"/>
    <xf numFmtId="0" fontId="19" fillId="3" borderId="7" pivotButton="0" quotePrefix="0" xfId="0"/>
    <xf numFmtId="0" fontId="18" fillId="3" borderId="10" pivotButton="0" quotePrefix="0" xfId="0"/>
    <xf numFmtId="0" fontId="16" fillId="3" borderId="11" applyAlignment="1" pivotButton="0" quotePrefix="0" xfId="0">
      <alignment vertical="top" wrapText="1"/>
    </xf>
    <xf numFmtId="0" fontId="0" fillId="0" borderId="11" pivotButton="0" quotePrefix="0" xfId="0"/>
    <xf numFmtId="0" fontId="0" fillId="0" borderId="12" pivotButton="0" quotePrefix="0" xfId="0"/>
    <xf numFmtId="0" fontId="20" fillId="5" borderId="1" applyAlignment="1" pivotButton="0" quotePrefix="0" xfId="0">
      <alignment horizontal="left" indent="1"/>
    </xf>
    <xf numFmtId="0" fontId="22" fillId="5" borderId="1" applyAlignment="1" pivotButton="0" quotePrefix="0" xfId="0">
      <alignment horizontal="left" indent="1"/>
    </xf>
    <xf numFmtId="0" fontId="21" fillId="5" borderId="1" applyAlignment="1" pivotButton="0" quotePrefix="0" xfId="0">
      <alignment horizontal="left" indent="1"/>
    </xf>
    <xf numFmtId="0" fontId="16" fillId="5" borderId="1" applyAlignment="1" pivotButton="0" quotePrefix="0" xfId="0">
      <alignment horizontal="left" indent="1"/>
    </xf>
    <xf numFmtId="0" fontId="23" fillId="3" borderId="0" pivotButton="0" quotePrefix="0" xfId="0"/>
    <xf numFmtId="0" fontId="16" fillId="3" borderId="4" applyAlignment="1" pivotButton="0" quotePrefix="0" xfId="0">
      <alignment vertical="top" wrapText="1" indent="1"/>
    </xf>
    <xf numFmtId="0" fontId="16" fillId="3" borderId="7" applyAlignment="1" pivotButton="0" quotePrefix="0" xfId="0">
      <alignment vertical="top" wrapText="1" indent="1"/>
    </xf>
    <xf numFmtId="0" fontId="16" fillId="3" borderId="10" applyAlignment="1" pivotButton="0" quotePrefix="0" xfId="0">
      <alignment vertical="top" wrapText="1" indent="1"/>
    </xf>
    <xf numFmtId="0" fontId="24" fillId="3" borderId="0" pivotButton="0" quotePrefix="0" xfId="0"/>
    <xf numFmtId="164" fontId="0" fillId="3" borderId="0" pivotButton="0" quotePrefix="0" xfId="0"/>
    <xf numFmtId="0" fontId="1" fillId="6" borderId="0" pivotButton="0" quotePrefix="0" xfId="0"/>
    <xf numFmtId="165" fontId="0" fillId="3" borderId="0" pivotButton="0" quotePrefix="0" xfId="0"/>
    <xf numFmtId="0" fontId="13" fillId="3" borderId="0" applyAlignment="1" pivotButton="0" quotePrefix="0" xfId="0">
      <alignment wrapText="1"/>
    </xf>
    <xf numFmtId="0" fontId="25" fillId="3" borderId="0" applyAlignment="1" pivotButton="0" quotePrefix="0" xfId="0">
      <alignment horizontal="left" vertical="center"/>
    </xf>
    <xf numFmtId="0" fontId="26" fillId="2" borderId="0" applyAlignment="1" pivotButton="0" quotePrefix="0" xfId="0">
      <alignment horizontal="left" vertical="center" indent="1"/>
    </xf>
    <xf numFmtId="0" fontId="0" fillId="2" borderId="0" pivotButton="0" quotePrefix="0" xfId="0"/>
    <xf numFmtId="0" fontId="27" fillId="2" borderId="0" applyAlignment="1" pivotButton="0" quotePrefix="0" xfId="0">
      <alignment horizontal="left" vertical="center" indent="1"/>
    </xf>
    <xf numFmtId="0" fontId="28" fillId="3" borderId="0" pivotButton="0" quotePrefix="0" xfId="0"/>
    <xf numFmtId="0" fontId="21" fillId="4" borderId="0" applyAlignment="1" pivotButton="0" quotePrefix="0" xfId="0">
      <alignment horizontal="center"/>
    </xf>
    <xf numFmtId="0" fontId="13" fillId="3" borderId="0" pivotButton="0" quotePrefix="0" xfId="0"/>
    <xf numFmtId="0" fontId="29" fillId="2" borderId="1" applyAlignment="1" pivotButton="0" quotePrefix="0" xfId="0">
      <alignment horizontal="center" vertical="center"/>
    </xf>
    <xf numFmtId="0" fontId="0" fillId="0" borderId="1" pivotButton="0" quotePrefix="0" xfId="0"/>
    <xf numFmtId="164" fontId="30" fillId="5" borderId="1" applyAlignment="1" pivotButton="0" quotePrefix="0" xfId="0">
      <alignment horizontal="center" vertical="center"/>
    </xf>
    <xf numFmtId="0" fontId="29" fillId="6" borderId="1" applyAlignment="1" pivotButton="0" quotePrefix="0" xfId="0">
      <alignment horizontal="center" vertical="center"/>
    </xf>
    <xf numFmtId="165" fontId="30" fillId="5" borderId="1" applyAlignment="1" pivotButton="0" quotePrefix="0" xfId="0">
      <alignment horizontal="center" vertical="center"/>
    </xf>
    <xf numFmtId="0" fontId="31" fillId="2" borderId="0" pivotButton="0" quotePrefix="0" xfId="0"/>
    <xf numFmtId="0" fontId="1" fillId="6" borderId="11" pivotButton="0" quotePrefix="0" xfId="0"/>
    <xf numFmtId="0" fontId="0" fillId="3" borderId="11" pivotButton="0" quotePrefix="0" xfId="0"/>
    <xf numFmtId="165" fontId="0" fillId="3" borderId="11" pivotButton="0" quotePrefix="0" xfId="0"/>
    <xf numFmtId="0" fontId="32" fillId="3" borderId="11" pivotButton="0" quotePrefix="0" xfId="0"/>
    <xf numFmtId="165" fontId="32" fillId="3" borderId="11" pivotButton="0" quotePrefix="0" xfId="0"/>
    <xf numFmtId="164" fontId="0" fillId="3" borderId="11" pivotButton="0" quotePrefix="0" xfId="0"/>
    <xf numFmtId="0" fontId="30" fillId="3" borderId="0" applyAlignment="1" pivotButton="0" quotePrefix="0" xfId="0">
      <alignment vertical="center"/>
    </xf>
    <xf numFmtId="0" fontId="10" fillId="3" borderId="0" applyAlignment="1" pivotButton="0" quotePrefix="0" xfId="0">
      <alignment wrapText="1"/>
    </xf>
    <xf numFmtId="1" fontId="12" fillId="5" borderId="1" applyAlignment="1" pivotButton="0" quotePrefix="0" xfId="0">
      <alignment horizontal="left" vertical="center" indent="1"/>
    </xf>
    <xf numFmtId="49" fontId="34" fillId="5" borderId="1" applyAlignment="1" pivotButton="0" quotePrefix="0" xfId="0">
      <alignment horizontal="left" vertical="center" indent="1"/>
    </xf>
    <xf numFmtId="0" fontId="0" fillId="3" borderId="0" applyAlignment="1" pivotButton="0" quotePrefix="0" xfId="0">
      <alignment horizontal="center"/>
    </xf>
    <xf numFmtId="0" fontId="0" fillId="3" borderId="0" applyAlignment="1" pivotButton="0" quotePrefix="0" xfId="0">
      <alignment horizontal="left" indent="1"/>
    </xf>
    <xf numFmtId="0" fontId="35" fillId="3" borderId="0" pivotButton="0" quotePrefix="0" xfId="0"/>
    <xf numFmtId="0" fontId="36" fillId="7" borderId="1" applyAlignment="1" pivotButton="0" quotePrefix="0" xfId="0">
      <alignment horizontal="center" vertical="center"/>
    </xf>
    <xf numFmtId="0" fontId="36" fillId="4" borderId="1" applyAlignment="1" pivotButton="0" quotePrefix="0" xfId="0">
      <alignment horizontal="center" vertical="center"/>
    </xf>
    <xf numFmtId="0" fontId="36" fillId="2" borderId="1" applyAlignment="1" pivotButton="0" quotePrefix="0" xfId="0">
      <alignment horizontal="center" vertical="center"/>
    </xf>
    <xf numFmtId="0" fontId="36" fillId="8" borderId="1" applyAlignment="1" pivotButton="0" quotePrefix="0" xfId="0">
      <alignment horizontal="center" vertical="center"/>
    </xf>
    <xf numFmtId="0" fontId="36" fillId="9" borderId="1" applyAlignment="1" pivotButton="0" quotePrefix="0" xfId="0">
      <alignment horizontal="center" vertical="center"/>
    </xf>
    <xf numFmtId="0" fontId="36" fillId="6" borderId="1" applyAlignment="1" pivotButton="0" quotePrefix="0" xfId="0">
      <alignment horizontal="center" vertical="center"/>
    </xf>
    <xf numFmtId="164" fontId="14" fillId="5" borderId="1" applyAlignment="1" pivotButton="0" quotePrefix="0" xfId="0">
      <alignment horizontal="center" vertical="center"/>
    </xf>
    <xf numFmtId="165" fontId="35" fillId="3" borderId="1" applyAlignment="1" pivotButton="0" quotePrefix="0" xfId="0">
      <alignment horizontal="center" vertical="center"/>
    </xf>
    <xf numFmtId="0" fontId="30" fillId="3" borderId="0" pivotButton="0" quotePrefix="0" xfId="0"/>
    <xf numFmtId="0" fontId="10" fillId="3" borderId="0" pivotButton="0" quotePrefix="0" xfId="0"/>
    <xf numFmtId="0" fontId="4" fillId="3" borderId="0" pivotButton="0" quotePrefix="0" xfId="0"/>
    <xf numFmtId="0" fontId="4" fillId="5" borderId="1" pivotButton="0" quotePrefix="0" xfId="0"/>
    <xf numFmtId="0" fontId="33" fillId="5" borderId="1" applyAlignment="1" pivotButton="0" quotePrefix="0" xfId="0">
      <alignment vertical="top" wrapText="1"/>
    </xf>
    <xf numFmtId="0" fontId="23" fillId="3" borderId="0" applyAlignment="1" pivotButton="0" quotePrefix="0" xfId="0">
      <alignment vertical="top" wrapText="1"/>
    </xf>
    <xf numFmtId="164" fontId="32" fillId="3" borderId="11" pivotButton="0" quotePrefix="0" xfId="0"/>
    <xf numFmtId="0" fontId="37" fillId="3" borderId="0" applyAlignment="1" pivotButton="0" quotePrefix="0" xfId="0">
      <alignment vertical="top" wrapText="1"/>
    </xf>
    <xf numFmtId="0" fontId="38" fillId="3" borderId="0" applyAlignment="1" pivotButton="0" quotePrefix="0" xfId="0">
      <alignment vertical="top" wrapText="1"/>
    </xf>
    <xf numFmtId="0" fontId="39" fillId="3" borderId="0" applyAlignment="1" pivotButton="0" quotePrefix="0" xfId="0">
      <alignment vertical="top" wrapText="1"/>
    </xf>
    <xf numFmtId="0" fontId="40" fillId="3" borderId="0" applyAlignment="1" pivotButton="0" quotePrefix="0" xfId="0">
      <alignment vertical="top" wrapText="1"/>
    </xf>
    <xf numFmtId="0" fontId="41" fillId="3" borderId="0" applyAlignment="1" pivotButton="0" quotePrefix="0" xfId="0">
      <alignment vertical="top" wrapText="1"/>
    </xf>
    <xf numFmtId="0" fontId="1" fillId="2" borderId="0" pivotButton="0" quotePrefix="0" xfId="0"/>
    <xf numFmtId="164" fontId="0" fillId="0" borderId="0" pivotButton="0" quotePrefix="0" xfId="0"/>
  </cellXfs>
  <cellStyles count="1">
    <cellStyle name="Normal" xfId="0" builtinId="0" hidden="0"/>
  </cellStyles>
  <dxfs count="2">
    <dxf>
      <font>
        <b val="1"/>
        <color rgb="00B3261E"/>
      </font>
    </dxf>
    <dxf>
      <font>
        <b val="1"/>
        <color rgb="001E6B52"/>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charts/chart1.xml><?xml version="1.0" encoding="utf-8"?>
<chartSpace xmlns:a="http://schemas.openxmlformats.org/drawingml/2006/main" xmlns="http://schemas.openxmlformats.org/drawingml/2006/chart">
  <style val="10"/>
  <chart>
    <plotArea>
      <barChart>
        <barDir val="col"/>
        <grouping val="clustered"/>
        <ser>
          <idx val="0"/>
          <order val="0"/>
          <tx>
            <strRef>
              <f>'01 Exec Summary'!C43</f>
            </strRef>
          </tx>
          <spPr>
            <a:ln>
              <a:prstDash val="solid"/>
            </a:ln>
          </spPr>
          <cat>
            <numRef>
              <f>'01 Exec Summary'!$B$44:$B$45</f>
            </numRef>
          </cat>
          <val>
            <numRef>
              <f>'01 Exec Summary'!$C$44:$C$45</f>
            </numRef>
          </val>
        </ser>
        <ser>
          <idx val="1"/>
          <order val="1"/>
          <tx>
            <strRef>
              <f>'01 Exec Summary'!D43</f>
            </strRef>
          </tx>
          <spPr>
            <a:ln>
              <a:prstDash val="solid"/>
            </a:ln>
          </spPr>
          <cat>
            <numRef>
              <f>'01 Exec Summary'!$B$44:$B$45</f>
            </numRef>
          </cat>
          <val>
            <numRef>
              <f>'01 Exec Summary'!$D$44:$D$45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Revenue &amp; EBITDA by Industry</a:t>
            </a:r>
          </a:p>
        </rich>
      </tx>
    </title>
    <plotArea>
      <barChart>
        <barDir val="bar"/>
        <grouping val="clustered"/>
        <ser>
          <idx val="0"/>
          <order val="0"/>
          <tx>
            <strRef>
              <f>'01 Exec Summary'!D64</f>
            </strRef>
          </tx>
          <spPr>
            <a:ln>
              <a:prstDash val="solid"/>
            </a:ln>
          </spPr>
          <cat>
            <numRef>
              <f>'01 Exec Summary'!$B$65:$B$70</f>
            </numRef>
          </cat>
          <val>
            <numRef>
              <f>'01 Exec Summary'!$D$65:$D$70</f>
            </numRef>
          </val>
        </ser>
        <ser>
          <idx val="1"/>
          <order val="1"/>
          <tx>
            <strRef>
              <f>'01 Exec Summary'!E64</f>
            </strRef>
          </tx>
          <spPr>
            <a:ln>
              <a:prstDash val="solid"/>
            </a:ln>
          </spPr>
          <cat>
            <numRef>
              <f>'01 Exec Summary'!$B$65:$B$70</f>
            </numRef>
          </cat>
          <val>
            <numRef>
              <f>'01 Exec Summary'!$E$65:$E$70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Category Breakdown — Selected Entity &amp; Year</a:t>
            </a:r>
          </a:p>
        </rich>
      </tx>
    </title>
    <plotArea>
      <barChart>
        <barDir val="bar"/>
        <grouping val="clustered"/>
        <ser>
          <idx val="0"/>
          <order val="0"/>
          <tx>
            <strRef>
              <f>'02 Profitability'!C20</f>
            </strRef>
          </tx>
          <spPr>
            <a:ln>
              <a:prstDash val="solid"/>
            </a:ln>
          </spPr>
          <cat>
            <numRef>
              <f>'02 Profitability'!$B$21:$B$33</f>
            </numRef>
          </cat>
          <val>
            <numRef>
              <f>'02 Profitability'!$C$21:$C$33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2"/>
  <chart>
    <title>
      <tx>
        <rich>
          <a:bodyPr/>
          <a:p>
            <a:pPr>
              <a:defRPr/>
            </a:pPr>
            <a:r>
              <a:t>Revenue vs Net Income by Entity (ranked)</a:t>
            </a:r>
          </a:p>
        </rich>
      </tx>
    </title>
    <plotArea>
      <barChart>
        <barDir val="col"/>
        <grouping val="clustered"/>
        <ser>
          <idx val="0"/>
          <order val="0"/>
          <tx>
            <strRef>
              <f>'03 Group Summary'!E22</f>
            </strRef>
          </tx>
          <spPr>
            <a:ln>
              <a:prstDash val="solid"/>
            </a:ln>
          </spPr>
          <cat>
            <numRef>
              <f>'03 Group Summary'!$C$23:$C$38</f>
            </numRef>
          </cat>
          <val>
            <numRef>
              <f>'03 Group Summary'!$E$23:$E$38</f>
            </numRef>
          </val>
        </ser>
        <ser>
          <idx val="1"/>
          <order val="1"/>
          <tx>
            <strRef>
              <f>'03 Group Summary'!H22</f>
            </strRef>
          </tx>
          <spPr>
            <a:ln>
              <a:prstDash val="solid"/>
            </a:ln>
          </spPr>
          <cat>
            <numRef>
              <f>'03 Group Summary'!$C$23:$C$38</f>
            </numRef>
          </cat>
          <val>
            <numRef>
              <f>'03 Group Summary'!$H$23:$H$38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5.xml><?xml version="1.0" encoding="utf-8"?>
<chartSpace xmlns:a="http://schemas.openxmlformats.org/drawingml/2006/main" xmlns="http://schemas.openxmlformats.org/drawingml/2006/chart">
  <style val="10"/>
  <chart>
    <title>
      <tx>
        <rich>
          <a:bodyPr/>
          <a:p>
            <a:pPr>
              <a:defRPr/>
            </a:pPr>
            <a:r>
              <a:t>Revenue Share by Industry</a:t>
            </a:r>
          </a:p>
        </rich>
      </tx>
    </title>
    <plotArea>
      <doughnutChart>
        <varyColors val="1"/>
        <ser>
          <idx val="0"/>
          <order val="0"/>
          <tx>
            <strRef>
              <f>'03 Group Summary'!E72</f>
            </strRef>
          </tx>
          <spPr>
            <a:ln>
              <a:prstDash val="solid"/>
            </a:ln>
          </spPr>
          <dPt>
            <idx val="0"/>
            <spPr>
              <a:solidFill>
                <a:srgbClr val="6B7280"/>
              </a:solidFill>
              <a:ln>
                <a:prstDash val="solid"/>
              </a:ln>
            </spPr>
          </dPt>
          <dPt>
            <idx val="1"/>
            <spPr>
              <a:solidFill>
                <a:srgbClr val="C9A227"/>
              </a:solidFill>
              <a:ln>
                <a:prstDash val="solid"/>
              </a:ln>
            </spPr>
          </dPt>
          <dPt>
            <idx val="2"/>
            <spPr>
              <a:solidFill>
                <a:srgbClr val="1C2B45"/>
              </a:solidFill>
              <a:ln>
                <a:prstDash val="solid"/>
              </a:ln>
            </spPr>
          </dPt>
          <dPt>
            <idx val="3"/>
            <spPr>
              <a:solidFill>
                <a:srgbClr val="1E6B52"/>
              </a:solidFill>
              <a:ln>
                <a:prstDash val="solid"/>
              </a:ln>
            </spPr>
          </dPt>
          <dPt>
            <idx val="4"/>
            <spPr>
              <a:solidFill>
                <a:srgbClr val="8A6D3B"/>
              </a:solidFill>
              <a:ln>
                <a:prstDash val="solid"/>
              </a:ln>
            </spPr>
          </dPt>
          <dPt>
            <idx val="5"/>
            <spPr>
              <a:solidFill>
                <a:srgbClr val="0E7C7B"/>
              </a:solidFill>
              <a:ln>
                <a:prstDash val="solid"/>
              </a:ln>
            </spPr>
          </dPt>
          <cat>
            <numRef>
              <f>'03 Group Summary'!$C$73:$C$78</f>
            </numRef>
          </cat>
          <val>
            <numRef>
              <f>'03 Group Summary'!$E$73:$E$78</f>
            </numRef>
          </val>
        </ser>
        <dLbls>
          <showLegendKey val="0"/>
          <showVal val="0"/>
          <showCatName val="0"/>
          <showSerName val="0"/>
          <showPercent val="1"/>
        </dLbls>
        <firstSliceAng val="0"/>
        <holeSize val="10"/>
      </doughnutChart>
    </plotArea>
    <legend>
      <legendPos val="r"/>
    </legend>
    <plotVisOnly val="1"/>
    <dispBlanksAs val="gap"/>
  </chart>
</chartSpace>
</file>

<file path=xl/charts/chart6.xml><?xml version="1.0" encoding="utf-8"?>
<chartSpace xmlns:a="http://schemas.openxmlformats.org/drawingml/2006/main" xmlns="http://schemas.openxmlformats.org/drawingml/2006/chart">
  <style val="10"/>
  <chart>
    <title>
      <tx>
        <rich>
          <a:bodyPr/>
          <a:p>
            <a:pPr>
              <a:defRPr/>
            </a:pPr>
            <a:r>
              <a:t>SBD Allocation — Associated Group (current year)</a:t>
            </a:r>
          </a:p>
        </rich>
      </tx>
    </title>
    <plotArea>
      <barChart>
        <barDir val="bar"/>
        <grouping val="clustered"/>
        <ser>
          <idx val="0"/>
          <order val="0"/>
          <tx>
            <strRef>
              <f>'04 Tax Position'!E25</f>
            </strRef>
          </tx>
          <spPr>
            <a:ln>
              <a:prstDash val="solid"/>
            </a:ln>
          </spPr>
          <cat>
            <numRef>
              <f>'04 Tax Position'!$B$26:$B$39</f>
            </numRef>
          </cat>
          <val>
            <numRef>
              <f>'04 Tax Position'!$E$26:$E$39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_rels/drawing2.xml.rels><Relationships xmlns="http://schemas.openxmlformats.org/package/2006/relationships"><Relationship Type="http://schemas.openxmlformats.org/officeDocument/2006/relationships/chart" Target="/xl/charts/chart3.xml" Id="rId1" /></Relationships>
</file>

<file path=xl/drawings/_rels/drawing3.xml.rels><Relationships xmlns="http://schemas.openxmlformats.org/package/2006/relationships"><Relationship Type="http://schemas.openxmlformats.org/officeDocument/2006/relationships/chart" Target="/xl/charts/chart4.xml" Id="rId1" /><Relationship Type="http://schemas.openxmlformats.org/officeDocument/2006/relationships/chart" Target="/xl/charts/chart5.xml" Id="rId2" /></Relationships>
</file>

<file path=xl/drawings/_rels/drawing4.xml.rels><Relationships xmlns="http://schemas.openxmlformats.org/package/2006/relationships"><Relationship Type="http://schemas.openxmlformats.org/officeDocument/2006/relationships/chart" Target="/xl/charts/chart6.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46</row>
      <rowOff>0</rowOff>
    </from>
    <ext cx="8640000" cy="3240000"/>
    <graphicFrame>
      <nvGraphicFramePr>
        <cNvPr id="1" name="Chart 1"/>
        <cNvGraphicFramePr/>
      </nvGraphicFramePr>
      <xfrm/>
      <a:graphic>
        <a:graphicData uri="http://schemas.openxmlformats.org/drawingml/2006/chart">
          <c:chart r:id="rId1"/>
        </a:graphicData>
      </a:graphic>
    </graphicFrame>
    <clientData/>
  </oneCellAnchor>
  <oneCellAnchor>
    <from>
      <col>6</col>
      <colOff>0</colOff>
      <row>63</row>
      <rowOff>0</rowOff>
    </from>
    <ext cx="7920000" cy="324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19</row>
      <rowOff>0</rowOff>
    </from>
    <ext cx="720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40</row>
      <rowOff>0</rowOff>
    </from>
    <ext cx="10800000" cy="396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79</row>
      <rowOff>0</rowOff>
    </from>
    <ext cx="5760000" cy="360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24</row>
      <rowOff>0</rowOff>
    </from>
    <ext cx="7200000" cy="3600000"/>
    <graphicFrame>
      <nvGraphicFramePr>
        <cNvPr id="1" name="Chart 1"/>
        <cNvGraphicFramePr/>
      </nvGraphicFramePr>
      <xfrm/>
      <a:graphic>
        <a:graphicData uri="http://schemas.openxmlformats.org/drawingml/2006/chart">
          <c:chart r:id="rId1"/>
        </a:graphicData>
      </a:graphic>
    </graphicFrame>
    <clientData/>
  </oneCellAnchor>
</wsDr>
</file>

<file path=xl/tables/table1.xml><?xml version="1.0" encoding="utf-8"?>
<table xmlns="http://schemas.openxmlformats.org/spreadsheetml/2006/main" id="1" name="GroupLeaderboard" displayName="GroupLeaderboard" ref="B22:H38" headerRowCount="1">
  <autoFilter ref="B22:H38"/>
  <tableColumns count="7">
    <tableColumn id="2" name="Rank"/>
    <tableColumn id="3" name="Entity"/>
    <tableColumn id="4" name="Industry"/>
    <tableColumn id="5" name="Revenue"/>
    <tableColumn id="6" name="EBITDA"/>
    <tableColumn id="7" name="EBITDA Margin"/>
    <tableColumn id="8" name="Net Income"/>
  </tableColumns>
  <tableStyleInfo name="TableStyleMedium9" showRowStripes="1"/>
</table>
</file>

<file path=xl/tables/table2.xml><?xml version="1.0" encoding="utf-8"?>
<table xmlns="http://schemas.openxmlformats.org/spreadsheetml/2006/main" id="2" name="EntityRegister" displayName="EntityRegister" ref="A4:K20" headerRowCount="1">
  <autoFilter ref="A4:K20"/>
  <tableColumns count="11">
    <tableColumn id="1" name="EntityName"/>
    <tableColumn id="2" name="Industry"/>
    <tableColumn id="3" name="Revenue"/>
    <tableColumn id="4" name="COGS"/>
    <tableColumn id="5" name="Payroll"/>
    <tableColumn id="6" name="Occupancy"/>
    <tableColumn id="7" name="Interest &amp; Financing"/>
    <tableColumn id="8" name="Amortization"/>
    <tableColumn id="9" name="Income Tax"/>
    <tableColumn id="10" name="EBITDA"/>
    <tableColumn id="11" name="Net Income"/>
  </tableColumns>
  <tableStyleInfo name="TableStyleMedium9" showRowStripes="1"/>
</table>
</file>

<file path=xl/tables/table3.xml><?xml version="1.0" encoding="utf-8"?>
<table xmlns="http://schemas.openxmlformats.org/spreadsheetml/2006/main" id="3" name="Dim_Entity" displayName="Dim_Entity" ref="A1:D17" headerRowCount="1">
  <autoFilter ref="A1:D17"/>
  <tableColumns count="4">
    <tableColumn id="1" name="EntityId"/>
    <tableColumn id="2" name="CompanyName"/>
    <tableColumn id="3" name="LegalName"/>
    <tableColumn id="4" name="Industry"/>
  </tableColumns>
  <tableStyleInfo name="TableStyleMedium2" showRowStripes="1"/>
</table>
</file>

<file path=xl/tables/table4.xml><?xml version="1.0" encoding="utf-8"?>
<table xmlns="http://schemas.openxmlformats.org/spreadsheetml/2006/main" id="4" name="Dim_Calendar" displayName="Dim_Calendar" ref="A1:C4" headerRowCount="1">
  <autoFilter ref="A1:C4"/>
  <tableColumns count="3">
    <tableColumn id="1" name="FiscalYear"/>
    <tableColumn id="2" name="YearEnd"/>
    <tableColumn id="3" name="YearLabel"/>
  </tableColumns>
  <tableStyleInfo name="TableStyleMedium2" showRowStripes="1"/>
</table>
</file>

<file path=xl/tables/table5.xml><?xml version="1.0" encoding="utf-8"?>
<table xmlns="http://schemas.openxmlformats.org/spreadsheetml/2006/main" id="5" name="Fact_TrialBalance" displayName="Fact_TrialBalance" ref="A1:E326" headerRowCount="1">
  <autoFilter ref="A1:E326"/>
  <tableColumns count="5">
    <tableColumn id="1" name="EntityId"/>
    <tableColumn id="2" name="Category"/>
    <tableColumn id="3" name="FiscalYear"/>
    <tableColumn id="4" name="Amount"/>
    <tableColumn id="5" name="Industry"/>
  </tableColumns>
  <tableStyleInfo name="TableStyleMedium2" showRowStripes="1"/>
</table>
</file>

<file path=xl/tables/table6.xml><?xml version="1.0" encoding="utf-8"?>
<table xmlns="http://schemas.openxmlformats.org/spreadsheetml/2006/main" id="6" name="PQ_Dim_FilePrefix" displayName="PQ_Dim_FilePrefix" ref="A1:B17" headerRowCount="1">
  <autoFilter ref="A1:B17"/>
  <tableColumns count="2">
    <tableColumn id="1" name="FilePrefix"/>
    <tableColumn id="2" name="EntityId"/>
  </tableColumns>
  <tableStyleInfo name="TableStyleMedium2" showRowStripes="1"/>
</table>
</file>

<file path=xl/tables/table7.xml><?xml version="1.0" encoding="utf-8"?>
<table xmlns="http://schemas.openxmlformats.org/spreadsheetml/2006/main" id="7" name="PQ_GIFI_Mapping" displayName="PQ_GIFI_Mapping" ref="A1:B58" headerRowCount="1">
  <autoFilter ref="A1:B58"/>
  <tableColumns count="2">
    <tableColumn id="1" name="GIFICode"/>
    <tableColumn id="2" name="Category"/>
  </tableColumns>
  <tableStyleInfo name="TableStyleMedium2" showRowStripes="1"/>
</table>
</file>

<file path=xl/tables/table8.xml><?xml version="1.0" encoding="utf-8"?>
<table xmlns="http://schemas.openxmlformats.org/spreadsheetml/2006/main" id="8" name="PQ_Fallback_MapNo" displayName="PQ_Fallback_MapNo" ref="A1:C8" headerRowCount="1">
  <autoFilter ref="A1:C8"/>
  <tableColumns count="3">
    <tableColumn id="1" name="FilePrefix"/>
    <tableColumn id="2" name="MapNoNormalized"/>
    <tableColumn id="3" name="Category"/>
  </tableColumns>
  <tableStyleInfo name="TableStyleMedium2" showRowStripes="1"/>
</table>
</file>

<file path=xl/tables/table9.xml><?xml version="1.0" encoding="utf-8"?>
<table xmlns="http://schemas.openxmlformats.org/spreadsheetml/2006/main" id="9" name="PQ_Exceptions" displayName="PQ_Exceptions" ref="A1:C7" headerRowCount="1">
  <autoFilter ref="A1:C7"/>
  <tableColumns count="3">
    <tableColumn id="1" name="FilePrefix"/>
    <tableColumn id="2" name="AccountNo"/>
    <tableColumn id="3" name="Category"/>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2 Profitability'!A1" TargetMode="External" Id="rId1" /><Relationship Type="http://schemas.openxmlformats.org/officeDocument/2006/relationships/hyperlink" Target="#'03 Group Summary'!A1" TargetMode="External" Id="rId2" /><Relationship Type="http://schemas.openxmlformats.org/officeDocument/2006/relationships/hyperlink" Target="#'04 Tax Position'!A1" TargetMode="External" Id="rId3" /><Relationship Type="http://schemas.openxmlformats.org/officeDocument/2006/relationships/drawing" Target="/xl/drawings/drawing1.xml" Id="rId4" /></Relationships>
</file>

<file path=xl/worksheets/_rels/sheet2.xml.rels><Relationships xmlns="http://schemas.openxmlformats.org/package/2006/relationships"><Relationship Type="http://schemas.openxmlformats.org/officeDocument/2006/relationships/hyperlink" Target="#'01 Exec Summary'!A1" TargetMode="External" Id="rId1" /><Relationship Type="http://schemas.openxmlformats.org/officeDocument/2006/relationships/drawing" Target="/xl/drawings/drawing2.xml" Id="rId2" /></Relationships>
</file>

<file path=xl/worksheets/_rels/sheet3.xml.rels><Relationships xmlns="http://schemas.openxmlformats.org/package/2006/relationships"><Relationship Type="http://schemas.openxmlformats.org/officeDocument/2006/relationships/hyperlink" Target="#'01 Exec Summary'!A1" TargetMode="External" Id="rId1" /><Relationship Type="http://schemas.openxmlformats.org/officeDocument/2006/relationships/drawing" Target="/xl/drawings/drawing3.xml" Id="rId2" /><Relationship Type="http://schemas.openxmlformats.org/officeDocument/2006/relationships/table" Target="/xl/tables/table1.xml" Id="rId3" /></Relationships>
</file>

<file path=xl/worksheets/_rels/sheet4.xml.rels><Relationships xmlns="http://schemas.openxmlformats.org/package/2006/relationships"><Relationship Type="http://schemas.openxmlformats.org/officeDocument/2006/relationships/hyperlink" Target="#'01 Exec Summary'!A1" TargetMode="External" Id="rId1" /><Relationship Type="http://schemas.openxmlformats.org/officeDocument/2006/relationships/drawing" Target="/xl/drawings/drawing4.xml" Id="rId2" /></Relationships>
</file>

<file path=xl/worksheets/_rels/sheet5.xml.rels><Relationships xmlns="http://schemas.openxmlformats.org/package/2006/relationships"><Relationship Type="http://schemas.openxmlformats.org/officeDocument/2006/relationships/hyperlink" Target="#'01 Exec Summary'!A1" TargetMode="External" Id="rId1" /><Relationship Type="http://schemas.openxmlformats.org/officeDocument/2006/relationships/table" Target="/xl/tables/table2.xml" Id="rId2" /></Relationships>
</file>

<file path=xl/worksheets/_rels/sheet6.xml.rels><Relationships xmlns="http://schemas.openxmlformats.org/package/2006/relationships"><Relationship Type="http://schemas.openxmlformats.org/officeDocument/2006/relationships/hyperlink" Target="#'01 Exec Summary'!A1" TargetMode="External" Id="rId1" /></Relationships>
</file>

<file path=xl/worksheets/_rels/sheet7.xml.rels><Relationships xmlns="http://schemas.openxmlformats.org/package/2006/relationships"><Relationship Type="http://schemas.openxmlformats.org/officeDocument/2006/relationships/table" Target="/xl/tables/table3.xml" Id="rId1" /></Relationships>
</file>

<file path=xl/worksheets/_rels/sheet8.xml.rels><Relationships xmlns="http://schemas.openxmlformats.org/package/2006/relationships"><Relationship Type="http://schemas.openxmlformats.org/officeDocument/2006/relationships/table" Target="/xl/tables/table4.xml" Id="rId1" /></Relationships>
</file>

<file path=xl/worksheets/_rels/sheet9.xml.rels><Relationships xmlns="http://schemas.openxmlformats.org/package/2006/relationships"><Relationship Type="http://schemas.openxmlformats.org/officeDocument/2006/relationships/table" Target="/xl/tables/table5.xml" Id="rId1" /></Relationships>
</file>

<file path=xl/worksheets/_rels/sheet10.xml.rels><Relationships xmlns="http://schemas.openxmlformats.org/package/2006/relationships"><Relationship Type="http://schemas.openxmlformats.org/officeDocument/2006/relationships/table" Target="/xl/tables/table6.xml" Id="rId1" /></Relationships>
</file>

<file path=xl/worksheets/_rels/sheet11.xml.rels><Relationships xmlns="http://schemas.openxmlformats.org/package/2006/relationships"><Relationship Type="http://schemas.openxmlformats.org/officeDocument/2006/relationships/table" Target="/xl/tables/table7.xml" Id="rId1" /></Relationships>
</file>

<file path=xl/worksheets/_rels/sheet12.xml.rels><Relationships xmlns="http://schemas.openxmlformats.org/package/2006/relationships"><Relationship Type="http://schemas.openxmlformats.org/officeDocument/2006/relationships/table" Target="/xl/tables/table8.xml" Id="rId1" /></Relationships>
</file>

<file path=xl/worksheets/_rels/sheet13.xml.rels><Relationships xmlns="http://schemas.openxmlformats.org/package/2006/relationships"><Relationship Type="http://schemas.openxmlformats.org/officeDocument/2006/relationships/table" Target="/xl/tables/table9.xml" Id="rId1" /></Relationships>
</file>

<file path=xl/worksheets/sheet1.xml><?xml version="1.0" encoding="utf-8"?>
<worksheet xmlns="http://schemas.openxmlformats.org/spreadsheetml/2006/main">
  <sheetPr>
    <tabColor rgb="00C9A227"/>
    <outlinePr summaryBelow="1" summaryRight="1"/>
    <pageSetUpPr fitToPage="1"/>
  </sheetPr>
  <dimension ref="A1:P95"/>
  <sheetViews>
    <sheetView showGridLines="0" workbookViewId="0">
      <selection activeCell="A1" sqref="A1"/>
    </sheetView>
  </sheetViews>
  <sheetFormatPr baseColWidth="8" defaultRowHeight="15"/>
  <cols>
    <col width="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s>
  <sheetData>
    <row r="1">
      <c r="A1" s="1" t="n"/>
      <c r="B1" s="1" t="n"/>
      <c r="C1" s="1" t="n"/>
      <c r="D1" s="1" t="n"/>
      <c r="E1" s="1" t="n"/>
      <c r="F1" s="1" t="n"/>
      <c r="G1" s="1" t="n"/>
      <c r="H1" s="1" t="n"/>
      <c r="I1" s="1" t="n"/>
      <c r="J1" s="1" t="n"/>
      <c r="K1" s="1" t="n"/>
      <c r="L1" s="1" t="n"/>
      <c r="M1" s="1" t="n"/>
      <c r="N1" s="1" t="n"/>
    </row>
    <row r="2">
      <c r="A2" s="1" t="n"/>
      <c r="B2" s="2" t="inlineStr">
        <is>
          <t>DRAFT MANAGEMENT REPORT — 16/16 ENTITIES VALIDATED AGAINST CASEWARE</t>
        </is>
      </c>
      <c r="C2" s="3" t="n"/>
      <c r="D2" s="3" t="n"/>
      <c r="E2" s="3" t="n"/>
      <c r="F2" s="3" t="n"/>
      <c r="G2" s="3" t="n"/>
      <c r="H2" s="3" t="n"/>
      <c r="I2" s="1" t="n"/>
      <c r="J2" s="4" t="inlineStr">
        <is>
          <t>Select Fiscal Year</t>
        </is>
      </c>
      <c r="K2" s="5" t="inlineStr">
        <is>
          <t>FY2025</t>
        </is>
      </c>
      <c r="N2" s="1" t="n"/>
    </row>
    <row r="3">
      <c r="A3" s="1" t="n"/>
      <c r="B3" s="1" t="n"/>
      <c r="C3" s="1" t="n"/>
      <c r="D3" s="1" t="n"/>
      <c r="E3" s="1" t="n"/>
      <c r="F3" s="1" t="n"/>
      <c r="G3" s="1" t="n"/>
      <c r="H3" s="1" t="n"/>
      <c r="I3" s="1" t="n"/>
      <c r="J3" s="1" t="n"/>
      <c r="K3" s="1" t="n"/>
      <c r="L3" s="1" t="n"/>
      <c r="M3" s="1" t="n"/>
      <c r="N3" s="1" t="n"/>
    </row>
    <row r="4">
      <c r="A4" s="1" t="n"/>
      <c r="B4" s="6" t="inlineStr">
        <is>
          <t>Sandhu Group — Consolidated Performance Report</t>
        </is>
      </c>
      <c r="N4" s="1" t="n"/>
    </row>
    <row r="5">
      <c r="A5" s="1" t="n"/>
      <c r="N5" s="1" t="n"/>
    </row>
    <row r="6">
      <c r="A6" s="1" t="n"/>
      <c r="B6" s="7" t="inlineStr">
        <is>
          <t>16 entities · Restaurant, Real Estate, Investments, Construction, Hotel &amp; Rental · FY ended March 31 · Prepared for group management review</t>
        </is>
      </c>
      <c r="N6" s="1" t="n"/>
    </row>
    <row r="7">
      <c r="A7" s="1" t="n"/>
      <c r="B7" s="1" t="n"/>
      <c r="C7" s="1" t="n"/>
      <c r="D7" s="1" t="n"/>
      <c r="E7" s="1" t="n"/>
      <c r="F7" s="1" t="n"/>
      <c r="G7" s="1" t="n"/>
      <c r="H7" s="1" t="n"/>
      <c r="I7" s="1" t="n"/>
      <c r="J7" s="1" t="n"/>
      <c r="K7" s="1" t="n"/>
      <c r="L7" s="1" t="n"/>
      <c r="M7" s="1" t="n"/>
      <c r="N7" s="1" t="n"/>
    </row>
    <row r="8" ht="16" customHeight="1">
      <c r="A8" s="1" t="n"/>
      <c r="B8" s="8" t="inlineStr">
        <is>
          <t>01 Executive Summary</t>
        </is>
      </c>
      <c r="C8" s="1" t="n"/>
      <c r="D8" s="9" t="inlineStr">
        <is>
          <t>02 Profitability</t>
        </is>
      </c>
      <c r="E8" s="1" t="n"/>
      <c r="F8" s="9" t="inlineStr">
        <is>
          <t>03 Group Summary</t>
        </is>
      </c>
      <c r="G8" s="1" t="n"/>
      <c r="H8" s="9" t="inlineStr">
        <is>
          <t>04 Tax Position</t>
        </is>
      </c>
      <c r="I8" s="1" t="n"/>
      <c r="J8" s="10" t="inlineStr">
        <is>
          <t>05 Debt &amp; Liquidity</t>
        </is>
      </c>
      <c r="K8" s="1" t="n"/>
      <c r="L8" s="10" t="inlineStr">
        <is>
          <t>06 Wealth of Group</t>
        </is>
      </c>
      <c r="M8" s="1" t="n"/>
      <c r="N8" s="10" t="inlineStr">
        <is>
          <t>07 Reorg &amp; LCGE</t>
        </is>
      </c>
      <c r="P8" s="11" t="inlineStr">
        <is>
          <t>08 Risk &amp; Alerts</t>
        </is>
      </c>
    </row>
    <row r="9">
      <c r="A9" s="1" t="n"/>
      <c r="B9" s="12" t="n"/>
      <c r="C9" s="12" t="n"/>
      <c r="D9" s="12" t="n"/>
      <c r="E9" s="12" t="n"/>
      <c r="F9" s="12" t="n"/>
      <c r="G9" s="12" t="n"/>
      <c r="H9" s="12" t="n"/>
      <c r="I9" s="12" t="n"/>
      <c r="J9" s="12" t="n"/>
      <c r="K9" s="12" t="n"/>
      <c r="L9" s="12" t="n"/>
      <c r="M9" s="12" t="n"/>
      <c r="N9" s="1" t="n"/>
    </row>
    <row r="10">
      <c r="A10" s="1" t="n"/>
      <c r="B10" s="1" t="n"/>
      <c r="C10" s="1" t="n"/>
      <c r="D10" s="1" t="n"/>
      <c r="E10" s="1" t="n"/>
      <c r="F10" s="1" t="n"/>
      <c r="G10" s="1" t="n"/>
      <c r="H10" s="1" t="n"/>
      <c r="I10" s="1" t="n"/>
      <c r="J10" s="1" t="n"/>
      <c r="K10" s="1" t="n"/>
      <c r="L10" s="1" t="n"/>
      <c r="M10" s="1" t="n"/>
      <c r="N10" s="1" t="n"/>
    </row>
    <row r="11">
      <c r="A11" s="1" t="n"/>
      <c r="B11" s="13">
        <f>"The one-page summary — six headline numbers below, each labelled with its data confidence so nothing is trusted more than it should be. The Select Fiscal Year box above (top right) drives every group-wide view — this page's own KPI cards, the industry table below, Entity Register and Group Summary — currently showing "&amp;$K$2&amp;". 02 Profitability has its own separate fiscal-year selector for drilling into one entity's history without changing the group-wide numbers here. The trend sections further down (Notable Movers, the revenue/EBITDA chart) stay fixed to FY2023→FY2025 regardless of either selector."</f>
        <v/>
      </c>
      <c r="N11" s="1" t="n"/>
    </row>
    <row r="12">
      <c r="A12" s="1" t="n"/>
      <c r="N12" s="1" t="n"/>
    </row>
    <row r="13">
      <c r="A13" s="1" t="n"/>
      <c r="B13" s="1" t="n"/>
      <c r="C13" s="1" t="n"/>
      <c r="D13" s="1" t="n"/>
      <c r="E13" s="1" t="n"/>
      <c r="F13" s="1" t="n"/>
      <c r="G13" s="1" t="n"/>
      <c r="H13" s="1" t="n"/>
      <c r="I13" s="1" t="n"/>
      <c r="J13" s="1" t="n"/>
      <c r="K13" s="1" t="n"/>
      <c r="L13" s="1" t="n"/>
      <c r="M13" s="1" t="n"/>
      <c r="N13" s="1" t="n"/>
    </row>
    <row r="14">
      <c r="A14" s="1" t="n"/>
      <c r="B14" s="14" t="inlineStr">
        <is>
          <t>GROUP REVENUE</t>
        </is>
      </c>
      <c r="C14" s="15" t="n"/>
      <c r="D14" s="14" t="inlineStr">
        <is>
          <t>GROUP EBITDA</t>
        </is>
      </c>
      <c r="E14" s="15" t="n"/>
      <c r="F14" s="14" t="inlineStr">
        <is>
          <t>CONSOLIDATED EFF. TAX RATE</t>
        </is>
      </c>
      <c r="G14" s="15" t="n"/>
      <c r="H14" s="14" t="inlineStr">
        <is>
          <t>ENTITIES IN LOSS POSITION</t>
        </is>
      </c>
      <c r="I14" s="15" t="n"/>
      <c r="J14" s="14" t="inlineStr">
        <is>
          <t>GROUP NET WORTH</t>
        </is>
      </c>
      <c r="K14" s="15" t="n"/>
      <c r="L14" s="14" t="inlineStr">
        <is>
          <t>SBD UTILIZATION (14 OF 16)</t>
        </is>
      </c>
      <c r="M14" s="15" t="n"/>
      <c r="N14" s="1" t="n"/>
    </row>
    <row r="15">
      <c r="A15" s="1" t="n"/>
      <c r="B15" s="16">
        <f>SUM('Entity Register'!C5:C20)</f>
        <v/>
      </c>
      <c r="C15" s="15" t="n"/>
      <c r="D15" s="16">
        <f>SUM('Entity Register'!J5:J20)</f>
        <v/>
      </c>
      <c r="E15" s="15" t="n"/>
      <c r="F15" s="17">
        <f>IFERROR(SUM('Entity Register'!I5:I20)/(SUM('Entity Register'!K5:K20)+SUM('Entity Register'!I5:I20)),0)</f>
        <v/>
      </c>
      <c r="G15" s="15" t="n"/>
      <c r="H15" s="18">
        <f>COUNTIF('Entity Register'!K5:K20,"&lt;0")&amp;" / "&amp;COUNTA('Entity Register'!A5:A20)</f>
        <v/>
      </c>
      <c r="I15" s="15" t="n"/>
      <c r="J15" s="18">
        <f>"pending"</f>
        <v/>
      </c>
      <c r="K15" s="15" t="n"/>
      <c r="L15" s="16">
        <f>78035</f>
        <v/>
      </c>
      <c r="M15" s="15" t="n"/>
      <c r="N15" s="1" t="n"/>
    </row>
    <row r="16">
      <c r="A16" s="1" t="n"/>
      <c r="B16" s="15" t="n"/>
      <c r="C16" s="15" t="n"/>
      <c r="D16" s="15" t="n"/>
      <c r="E16" s="15" t="n"/>
      <c r="F16" s="15" t="n"/>
      <c r="G16" s="15" t="n"/>
      <c r="H16" s="15" t="n"/>
      <c r="I16" s="15" t="n"/>
      <c r="J16" s="15" t="n"/>
      <c r="K16" s="15" t="n"/>
      <c r="L16" s="15" t="n"/>
      <c r="M16" s="15" t="n"/>
      <c r="N16" s="1" t="n"/>
    </row>
    <row r="17">
      <c r="A17" s="1" t="n"/>
      <c r="B17" s="19">
        <f>TEXT((SUM('Entity Register'!C5:C20)-(-SUMIFS(Fact_TrialBalance[Amount],Fact_TrialBalance[Category],"Operating Revenue",Fact_TrialBalance[FiscalYear],"FY2023")))/(-SUMIFS(Fact_TrialBalance[Amount],Fact_TrialBalance[Category],"Operating Revenue",Fact_TrialBalance[FiscalYear],"FY2023")),"+0.0%;-0.0%")&amp;" vs FY2023"</f>
        <v/>
      </c>
      <c r="D17" s="19">
        <f>TEXT(SUM('Entity Register'!J5:J20)/SUM('Entity Register'!C5:C20),"0.0%")&amp;" margin"</f>
        <v/>
      </c>
      <c r="F17" s="1" t="n"/>
      <c r="G17" s="1" t="n"/>
      <c r="H17" s="19">
        <f>TEXT(COUNTIF('Entity Register'!K5:K20,"&lt;0")/COUNTA('Entity Register'!A5:A20),"0%")&amp;" of group"</f>
        <v/>
      </c>
      <c r="J17" s="19" t="inlineStr">
        <is>
          <t>needs CaseWare balance sheets</t>
        </is>
      </c>
      <c r="L17" s="19" t="inlineStr">
        <is>
          <t>15.6% of $500,000, excl. 2 entities' own claims</t>
        </is>
      </c>
      <c r="N17" s="1" t="n"/>
    </row>
    <row r="18">
      <c r="A18" s="1" t="n"/>
      <c r="B18" s="1" t="n"/>
      <c r="C18" s="1" t="n"/>
      <c r="D18" s="1" t="n"/>
      <c r="E18" s="1" t="n"/>
      <c r="F18" s="1" t="n"/>
      <c r="G18" s="1" t="n"/>
      <c r="H18" s="1" t="n"/>
      <c r="I18" s="1" t="n"/>
      <c r="J18" s="1" t="n"/>
      <c r="K18" s="1" t="n"/>
      <c r="L18" s="1" t="n"/>
      <c r="M18" s="1" t="n"/>
      <c r="N18" s="1" t="n"/>
    </row>
    <row r="19">
      <c r="A19" s="1" t="n"/>
      <c r="B19" s="1" t="n"/>
      <c r="C19" s="1" t="n"/>
      <c r="D19" s="1" t="n"/>
      <c r="E19" s="1" t="n"/>
      <c r="F19" s="1" t="n"/>
      <c r="G19" s="1" t="n"/>
      <c r="H19" s="1" t="n"/>
      <c r="I19" s="1" t="n"/>
      <c r="J19" s="1" t="n"/>
      <c r="K19" s="1" t="n"/>
      <c r="L19" s="1" t="n"/>
      <c r="M19" s="1" t="n"/>
      <c r="N19" s="1" t="n"/>
    </row>
    <row r="20">
      <c r="A20" s="1" t="n"/>
      <c r="B20" s="20" t="inlineStr">
        <is>
          <t>Data confidence</t>
        </is>
      </c>
      <c r="N20" s="1" t="n"/>
    </row>
    <row r="21" ht="28" customHeight="1">
      <c r="A21" s="1" t="n"/>
      <c r="B21" s="21" t="inlineStr">
        <is>
          <t>●</t>
        </is>
      </c>
      <c r="C21" s="22" t="inlineStr">
        <is>
          <t>P&amp;L (16/16 entities) — every entity rebuilt fresh from its raw CaseWare WTB and validated to the penny (FY2025 Net Income matches the project's Validation Log exactly for all of them).</t>
        </is>
      </c>
      <c r="D21" s="23" t="n"/>
      <c r="E21" s="23" t="n"/>
      <c r="F21" s="23" t="n"/>
      <c r="G21" s="23" t="n"/>
      <c r="H21" s="23" t="n"/>
      <c r="I21" s="23" t="n"/>
      <c r="J21" s="23" t="n"/>
      <c r="K21" s="23" t="n"/>
      <c r="L21" s="23" t="n"/>
      <c r="M21" s="24" t="n"/>
      <c r="N21" s="1" t="n"/>
    </row>
    <row r="22" ht="28" customHeight="1">
      <c r="A22" s="1" t="n"/>
      <c r="B22" s="25" t="inlineStr">
        <is>
          <t>●</t>
        </is>
      </c>
      <c r="C22" s="26" t="inlineStr">
        <is>
          <t>SBD &amp; GRIP — real, cross-checked against Corporate Taxprep (14 of 16 entities; excludes IndiaRosa 2 &amp; Sandhu &amp; Sandhu's own claims, not found in that export).</t>
        </is>
      </c>
      <c r="D22" s="27" t="n"/>
      <c r="E22" s="27" t="n"/>
      <c r="F22" s="27" t="n"/>
      <c r="G22" s="27" t="n"/>
      <c r="H22" s="27" t="n"/>
      <c r="I22" s="27" t="n"/>
      <c r="J22" s="27" t="n"/>
      <c r="K22" s="27" t="n"/>
      <c r="L22" s="27" t="n"/>
      <c r="M22" s="28" t="n"/>
      <c r="N22" s="1" t="n"/>
    </row>
    <row r="23" ht="28" customHeight="1">
      <c r="A23" s="1" t="n"/>
      <c r="B23" s="29" t="inlineStr">
        <is>
          <t>●</t>
        </is>
      </c>
      <c r="C23" s="26" t="inlineStr">
        <is>
          <t>RDTOH &amp; CDA — confirmed NOT present in the Taxprep export tested (see 04 Tax Position).</t>
        </is>
      </c>
      <c r="D23" s="27" t="n"/>
      <c r="E23" s="27" t="n"/>
      <c r="F23" s="27" t="n"/>
      <c r="G23" s="27" t="n"/>
      <c r="H23" s="27" t="n"/>
      <c r="I23" s="27" t="n"/>
      <c r="J23" s="27" t="n"/>
      <c r="K23" s="27" t="n"/>
      <c r="L23" s="27" t="n"/>
      <c r="M23" s="28" t="n"/>
      <c r="N23" s="1" t="n"/>
    </row>
    <row r="24" ht="28" customHeight="1">
      <c r="A24" s="1" t="n"/>
      <c r="B24" s="29" t="inlineStr">
        <is>
          <t>●</t>
        </is>
      </c>
      <c r="C24" s="26" t="inlineStr">
        <is>
          <t>Balance sheet / consolidated net worth — not available; the WTB export is income-statement only.</t>
        </is>
      </c>
      <c r="D24" s="27" t="n"/>
      <c r="E24" s="27" t="n"/>
      <c r="F24" s="27" t="n"/>
      <c r="G24" s="27" t="n"/>
      <c r="H24" s="27" t="n"/>
      <c r="I24" s="27" t="n"/>
      <c r="J24" s="27" t="n"/>
      <c r="K24" s="27" t="n"/>
      <c r="L24" s="27" t="n"/>
      <c r="M24" s="28" t="n"/>
      <c r="N24" s="1" t="n"/>
    </row>
    <row r="25" ht="28" customHeight="1">
      <c r="A25" s="1" t="n"/>
      <c r="B25" s="30" t="inlineStr">
        <is>
          <t>●</t>
        </is>
      </c>
      <c r="C25" s="26" t="inlineStr">
        <is>
          <t>One unexpected entity (9475-3381 Québec Inc.) appears in the Taxprep data but has no WTB and isn't in scope — needs your confirmation on whether it belongs in the group.</t>
        </is>
      </c>
      <c r="D25" s="27" t="n"/>
      <c r="E25" s="27" t="n"/>
      <c r="F25" s="27" t="n"/>
      <c r="G25" s="27" t="n"/>
      <c r="H25" s="27" t="n"/>
      <c r="I25" s="27" t="n"/>
      <c r="J25" s="27" t="n"/>
      <c r="K25" s="27" t="n"/>
      <c r="L25" s="27" t="n"/>
      <c r="M25" s="28" t="n"/>
      <c r="N25" s="1" t="n"/>
    </row>
    <row r="26" ht="28" customHeight="1">
      <c r="A26" s="1" t="n"/>
      <c r="B26" s="31" t="inlineStr">
        <is>
          <t>●</t>
        </is>
      </c>
      <c r="C26" s="32" t="inlineStr">
        <is>
          <t>Group-level Revenue/EBITDA are within ~0.5%/1.8% of the Section 6 benchmark despite every entity's own Net Income matching exactly — a small residual category difference likely remains in 1–2 entities (see Notes &amp; Validation).</t>
        </is>
      </c>
      <c r="D26" s="33" t="n"/>
      <c r="E26" s="33" t="n"/>
      <c r="F26" s="33" t="n"/>
      <c r="G26" s="33" t="n"/>
      <c r="H26" s="33" t="n"/>
      <c r="I26" s="33" t="n"/>
      <c r="J26" s="33" t="n"/>
      <c r="K26" s="33" t="n"/>
      <c r="L26" s="33" t="n"/>
      <c r="M26" s="34" t="n"/>
      <c r="N26" s="1" t="n"/>
    </row>
    <row r="27">
      <c r="A27" s="1" t="n"/>
      <c r="B27" s="1" t="n"/>
      <c r="C27" s="1" t="n"/>
      <c r="D27" s="1" t="n"/>
      <c r="E27" s="1" t="n"/>
      <c r="F27" s="1" t="n"/>
      <c r="G27" s="1" t="n"/>
      <c r="H27" s="1" t="n"/>
      <c r="I27" s="1" t="n"/>
      <c r="J27" s="1" t="n"/>
      <c r="K27" s="1" t="n"/>
      <c r="L27" s="1" t="n"/>
      <c r="M27" s="1" t="n"/>
      <c r="N27" s="1" t="n"/>
    </row>
    <row r="28">
      <c r="A28" s="1" t="n"/>
      <c r="B28" s="20" t="inlineStr">
        <is>
          <t>Notable movers, FY2023 → FY2025</t>
        </is>
      </c>
      <c r="N28" s="1" t="n"/>
    </row>
    <row r="29">
      <c r="A29" s="1" t="n"/>
      <c r="B29" s="35" t="inlineStr">
        <is>
          <t>BIGGEST IMPROVEMENT</t>
        </is>
      </c>
      <c r="C29" s="15" t="n"/>
      <c r="D29" s="15" t="n"/>
      <c r="E29" s="15" t="n"/>
      <c r="F29" s="15" t="n"/>
      <c r="G29" s="1" t="n"/>
      <c r="H29" s="36" t="inlineStr">
        <is>
          <t>BIGGEST DECLINE</t>
        </is>
      </c>
      <c r="I29" s="15" t="n"/>
      <c r="J29" s="15" t="n"/>
      <c r="K29" s="15" t="n"/>
      <c r="L29" s="15" t="n"/>
      <c r="M29" s="15" t="n"/>
      <c r="N29" s="1" t="n"/>
    </row>
    <row r="30">
      <c r="A30" s="1" t="n"/>
      <c r="B30" s="37" t="inlineStr">
        <is>
          <t>9455-4201 Québec Inc. - Sandhu G</t>
        </is>
      </c>
      <c r="C30" s="15" t="n"/>
      <c r="D30" s="15" t="n"/>
      <c r="E30" s="15" t="n"/>
      <c r="F30" s="15" t="n"/>
      <c r="G30" s="1" t="n"/>
      <c r="H30" s="37" t="inlineStr">
        <is>
          <t>9366-1676 Québec Inc. - Sandhu G.</t>
        </is>
      </c>
      <c r="I30" s="15" t="n"/>
      <c r="J30" s="15" t="n"/>
      <c r="K30" s="15" t="n"/>
      <c r="L30" s="15" t="n"/>
      <c r="M30" s="15" t="n"/>
      <c r="N30" s="1" t="n"/>
    </row>
    <row r="31">
      <c r="A31" s="1" t="n"/>
      <c r="B31" s="38" t="inlineStr">
        <is>
          <t>Net income: $-2,970 → $571,535 (+574,505)</t>
        </is>
      </c>
      <c r="C31" s="15" t="n"/>
      <c r="D31" s="15" t="n"/>
      <c r="E31" s="15" t="n"/>
      <c r="F31" s="15" t="n"/>
      <c r="G31" s="1" t="n"/>
      <c r="H31" s="38" t="inlineStr">
        <is>
          <t>Net income: $-84,716 → $-660,352 (-575,636)</t>
        </is>
      </c>
      <c r="I31" s="15" t="n"/>
      <c r="J31" s="15" t="n"/>
      <c r="K31" s="15" t="n"/>
      <c r="L31" s="15" t="n"/>
      <c r="M31" s="15" t="n"/>
      <c r="N31" s="1" t="n"/>
    </row>
    <row r="32">
      <c r="A32" s="1" t="n"/>
      <c r="B32" s="1" t="n"/>
      <c r="C32" s="1" t="n"/>
      <c r="D32" s="1" t="n"/>
      <c r="E32" s="1" t="n"/>
      <c r="F32" s="1" t="n"/>
      <c r="G32" s="1" t="n"/>
      <c r="H32" s="1" t="n"/>
      <c r="I32" s="1" t="n"/>
      <c r="J32" s="1" t="n"/>
      <c r="K32" s="1" t="n"/>
      <c r="L32" s="1" t="n"/>
      <c r="M32" s="1" t="n"/>
      <c r="N32" s="1" t="n"/>
    </row>
    <row r="33">
      <c r="A33" s="1" t="n"/>
      <c r="B33" s="20" t="inlineStr">
        <is>
          <t>Management commentary</t>
        </is>
      </c>
      <c r="N33" s="1" t="n"/>
    </row>
    <row r="34">
      <c r="A34" s="1" t="n"/>
      <c r="B34" s="39" t="inlineStr">
        <is>
          <t>Auto-generated from FY2023 → FY2025 movement — every figure ties to the raw WTB data.</t>
        </is>
      </c>
      <c r="N34" s="1" t="n"/>
    </row>
    <row r="35" ht="26" customHeight="1">
      <c r="A35" s="1" t="n"/>
      <c r="B35" s="40">
        <f>"—  Group revenue grew from $"&amp;TEXT(-SUMIFS(Fact_TrialBalance[Amount],Fact_TrialBalance[Category],"Operating Revenue",Fact_TrialBalance[FiscalYear],"FY2023"),"#,##0")&amp;" (FY2023) to $"&amp;TEXT(-SUMIFS(Fact_TrialBalance[Amount],Fact_TrialBalance[Category],"Operating Revenue",Fact_TrialBalance[FiscalYear],"FY2025"),"#,##0")&amp;" (FY2025), up "&amp;TEXT((-SUMIFS(Fact_TrialBalance[Amount],Fact_TrialBalance[Category],"Operating Revenue",Fact_TrialBalance[FiscalYear],"FY2025")/-SUMIFS(Fact_TrialBalance[Amount],Fact_TrialBalance[Category],"Operating Revenue",Fact_TrialBalance[FiscalYear],"FY2023"))-1,"0.0%")&amp;"."</f>
        <v/>
      </c>
      <c r="C35" s="23" t="n"/>
      <c r="D35" s="23" t="n"/>
      <c r="E35" s="23" t="n"/>
      <c r="F35" s="23" t="n"/>
      <c r="G35" s="23" t="n"/>
      <c r="H35" s="23" t="n"/>
      <c r="I35" s="23" t="n"/>
      <c r="J35" s="23" t="n"/>
      <c r="K35" s="23" t="n"/>
      <c r="L35" s="23" t="n"/>
      <c r="M35" s="24" t="n"/>
      <c r="N35" s="1" t="n"/>
    </row>
    <row r="36" ht="26" customHeight="1">
      <c r="A36" s="1" t="n"/>
      <c r="B36" s="41">
        <f>"—  Group EBITDA margin moved from 17.9% (FY2023) to 18.3% (FY2025)."</f>
        <v/>
      </c>
      <c r="C36" s="27" t="n"/>
      <c r="D36" s="27" t="n"/>
      <c r="E36" s="27" t="n"/>
      <c r="F36" s="27" t="n"/>
      <c r="G36" s="27" t="n"/>
      <c r="H36" s="27" t="n"/>
      <c r="I36" s="27" t="n"/>
      <c r="J36" s="27" t="n"/>
      <c r="K36" s="27" t="n"/>
      <c r="L36" s="27" t="n"/>
      <c r="M36" s="28" t="n"/>
      <c r="N36" s="1" t="n"/>
    </row>
    <row r="37" ht="26" customHeight="1">
      <c r="A37" s="1" t="n"/>
      <c r="B37" s="41">
        <f>"—  Consolidated effective tax rate moved from 10.9% (FY2023) to 19.4% (FY2025)."</f>
        <v/>
      </c>
      <c r="C37" s="27" t="n"/>
      <c r="D37" s="27" t="n"/>
      <c r="E37" s="27" t="n"/>
      <c r="F37" s="27" t="n"/>
      <c r="G37" s="27" t="n"/>
      <c r="H37" s="27" t="n"/>
      <c r="I37" s="27" t="n"/>
      <c r="J37" s="27" t="n"/>
      <c r="K37" s="27" t="n"/>
      <c r="L37" s="27" t="n"/>
      <c r="M37" s="28" t="n"/>
      <c r="N37" s="1" t="n"/>
    </row>
    <row r="38" ht="26" customHeight="1">
      <c r="A38" s="1" t="n"/>
      <c r="B38" s="41">
        <f>"—  Entities in a loss position: 6 of 16 in FY2023, versus "&amp;COUNTIF('Entity Register'!K5:K20,"&lt;0")&amp;" of "&amp;COUNTA('Entity Register'!A5:A20)&amp;" in FY2025."</f>
        <v/>
      </c>
      <c r="C38" s="27" t="n"/>
      <c r="D38" s="27" t="n"/>
      <c r="E38" s="27" t="n"/>
      <c r="F38" s="27" t="n"/>
      <c r="G38" s="27" t="n"/>
      <c r="H38" s="27" t="n"/>
      <c r="I38" s="27" t="n"/>
      <c r="J38" s="27" t="n"/>
      <c r="K38" s="27" t="n"/>
      <c r="L38" s="27" t="n"/>
      <c r="M38" s="28" t="n"/>
      <c r="N38" s="1" t="n"/>
    </row>
    <row r="39" ht="26" customHeight="1">
      <c r="A39" s="1" t="n"/>
      <c r="B39" s="41">
        <f>"—  SBD: $78,035 of the $500,000 federal limit accounted for across the 14 associated corporations with data in IndiaRosa 2's Taxprep export — IndiaRosa 2's and Sandhu &amp; Sandhu's own claims are not in that export, so this is a floor, not the group total."</f>
        <v/>
      </c>
      <c r="C39" s="27" t="n"/>
      <c r="D39" s="27" t="n"/>
      <c r="E39" s="27" t="n"/>
      <c r="F39" s="27" t="n"/>
      <c r="G39" s="27" t="n"/>
      <c r="H39" s="27" t="n"/>
      <c r="I39" s="27" t="n"/>
      <c r="J39" s="27" t="n"/>
      <c r="K39" s="27" t="n"/>
      <c r="L39" s="27" t="n"/>
      <c r="M39" s="28" t="n"/>
      <c r="N39" s="1" t="n"/>
    </row>
    <row r="40" ht="26" customHeight="1">
      <c r="A40" s="1" t="n"/>
      <c r="B40" s="42">
        <f>"—  Biggest mover: 9455-4201 Québec Inc. - Sandhu G (net income +$574,505) vs. 9366-1676 Québec Inc. - Sandhu G. (-575,636)."</f>
        <v/>
      </c>
      <c r="C40" s="33" t="n"/>
      <c r="D40" s="33" t="n"/>
      <c r="E40" s="33" t="n"/>
      <c r="F40" s="33" t="n"/>
      <c r="G40" s="33" t="n"/>
      <c r="H40" s="33" t="n"/>
      <c r="I40" s="33" t="n"/>
      <c r="J40" s="33" t="n"/>
      <c r="K40" s="33" t="n"/>
      <c r="L40" s="33" t="n"/>
      <c r="M40" s="34" t="n"/>
      <c r="N40" s="1" t="n"/>
    </row>
    <row r="41">
      <c r="A41" s="1" t="n"/>
      <c r="B41" s="1" t="n"/>
      <c r="C41" s="1" t="n"/>
      <c r="D41" s="1" t="n"/>
      <c r="E41" s="1" t="n"/>
      <c r="F41" s="1" t="n"/>
      <c r="G41" s="1" t="n"/>
      <c r="H41" s="1" t="n"/>
      <c r="I41" s="1" t="n"/>
      <c r="J41" s="1" t="n"/>
      <c r="K41" s="1" t="n"/>
      <c r="L41" s="1" t="n"/>
      <c r="M41" s="1" t="n"/>
      <c r="N41" s="1" t="n"/>
    </row>
    <row r="42">
      <c r="A42" s="1" t="n"/>
      <c r="B42" s="20" t="inlineStr">
        <is>
          <t>Group revenue &amp; EBITDA, FY2023 vs FY2025</t>
        </is>
      </c>
      <c r="N42" s="1" t="n"/>
    </row>
    <row r="43">
      <c r="A43" s="1" t="n"/>
      <c r="B43" s="43" t="inlineStr">
        <is>
          <t>FiscalYear</t>
        </is>
      </c>
      <c r="C43" s="43" t="inlineStr">
        <is>
          <t>Revenue</t>
        </is>
      </c>
      <c r="D43" s="43" t="inlineStr">
        <is>
          <t>EBITDA</t>
        </is>
      </c>
      <c r="E43" s="1" t="n"/>
      <c r="F43" s="1" t="n"/>
      <c r="G43" s="1" t="n"/>
      <c r="H43" s="1" t="n"/>
      <c r="I43" s="1" t="n"/>
      <c r="J43" s="1" t="n"/>
      <c r="K43" s="1" t="n"/>
      <c r="L43" s="1" t="n"/>
      <c r="M43" s="1" t="n"/>
      <c r="N43" s="1" t="n"/>
    </row>
    <row r="44">
      <c r="A44" s="1" t="n"/>
      <c r="B44" s="1" t="inlineStr">
        <is>
          <t>FY2023</t>
        </is>
      </c>
      <c r="C44" s="44">
        <f>-SUMIFS(Fact_TrialBalance[Amount],Fact_TrialBalance[Category],"Operating Revenue",Fact_TrialBalance[FiscalYear],"FY2023")</f>
        <v/>
      </c>
      <c r="D44" s="44">
        <f>-(SUMIFS(Fact_TrialBalance[Amount],Fact_TrialBalance[FiscalYear],"FY2023")-SUMPRODUCT((Fact_TrialBalance[FiscalYear]="FY2023")*(ISNUMBER(MATCH(Fact_TrialBalance[Category],{"Interest &amp; Financing","Amortization","Income Tax"},0)))*Fact_TrialBalance[Amount]))</f>
        <v/>
      </c>
      <c r="E44" s="1" t="n"/>
      <c r="F44" s="1" t="n"/>
      <c r="G44" s="1" t="n"/>
      <c r="H44" s="1" t="n"/>
      <c r="I44" s="1" t="n"/>
      <c r="J44" s="1" t="n"/>
      <c r="K44" s="1" t="n"/>
      <c r="L44" s="1" t="n"/>
      <c r="M44" s="1" t="n"/>
      <c r="N44" s="1" t="n"/>
    </row>
    <row r="45">
      <c r="A45" s="1" t="n"/>
      <c r="B45" s="1" t="inlineStr">
        <is>
          <t>FY2025</t>
        </is>
      </c>
      <c r="C45" s="44">
        <f>-SUMIFS(Fact_TrialBalance[Amount],Fact_TrialBalance[Category],"Operating Revenue",Fact_TrialBalance[FiscalYear],"FY2025")</f>
        <v/>
      </c>
      <c r="D45" s="44">
        <f>-(SUMIFS(Fact_TrialBalance[Amount],Fact_TrialBalance[FiscalYear],"FY2025")-SUMPRODUCT((Fact_TrialBalance[FiscalYear]="FY2025")*(ISNUMBER(MATCH(Fact_TrialBalance[Category],{"Interest &amp; Financing","Amortization","Income Tax"},0)))*Fact_TrialBalance[Amount]))</f>
        <v/>
      </c>
      <c r="E45" s="1" t="n"/>
      <c r="F45" s="1" t="n"/>
      <c r="G45" s="1" t="n"/>
      <c r="H45" s="1" t="n"/>
      <c r="I45" s="1" t="n"/>
      <c r="J45" s="1" t="n"/>
      <c r="K45" s="1" t="n"/>
      <c r="L45" s="1" t="n"/>
      <c r="M45" s="1" t="n"/>
      <c r="N45" s="1" t="n"/>
    </row>
    <row r="46">
      <c r="A46" s="1" t="n"/>
      <c r="B46" s="1" t="n"/>
      <c r="C46" s="1" t="n"/>
      <c r="D46" s="1" t="n"/>
      <c r="E46" s="1" t="n"/>
      <c r="F46" s="1" t="n"/>
      <c r="G46" s="1" t="n"/>
      <c r="H46" s="1" t="n"/>
      <c r="I46" s="1" t="n"/>
      <c r="J46" s="1" t="n"/>
      <c r="K46" s="1" t="n"/>
      <c r="L46" s="1" t="n"/>
      <c r="M46" s="1" t="n"/>
      <c r="N46" s="1" t="n"/>
    </row>
    <row r="47">
      <c r="A47" s="1" t="n"/>
      <c r="B47" s="1" t="n"/>
      <c r="C47" s="1" t="n"/>
      <c r="D47" s="1" t="n"/>
      <c r="E47" s="1" t="n"/>
      <c r="F47" s="1" t="n"/>
      <c r="G47" s="1" t="n"/>
      <c r="H47" s="1" t="n"/>
      <c r="I47" s="1" t="n"/>
      <c r="J47" s="1" t="n"/>
      <c r="K47" s="1" t="n"/>
      <c r="L47" s="1" t="n"/>
      <c r="M47" s="1" t="n"/>
      <c r="N47" s="1" t="n"/>
    </row>
    <row r="48">
      <c r="A48" s="1" t="n"/>
      <c r="B48" s="1" t="n"/>
      <c r="C48" s="1" t="n"/>
      <c r="D48" s="1" t="n"/>
      <c r="E48" s="1" t="n"/>
      <c r="F48" s="1" t="n"/>
      <c r="G48" s="1" t="n"/>
      <c r="H48" s="1" t="n"/>
      <c r="I48" s="1" t="n"/>
      <c r="J48" s="1" t="n"/>
      <c r="K48" s="1" t="n"/>
      <c r="L48" s="1" t="n"/>
      <c r="M48" s="1" t="n"/>
      <c r="N48" s="1" t="n"/>
    </row>
    <row r="49">
      <c r="A49" s="1" t="n"/>
      <c r="B49" s="1" t="n"/>
      <c r="C49" s="1" t="n"/>
      <c r="D49" s="1" t="n"/>
      <c r="E49" s="1" t="n"/>
      <c r="F49" s="1" t="n"/>
      <c r="G49" s="1" t="n"/>
      <c r="H49" s="1" t="n"/>
      <c r="I49" s="1" t="n"/>
      <c r="J49" s="1" t="n"/>
      <c r="K49" s="1" t="n"/>
      <c r="L49" s="1" t="n"/>
      <c r="M49" s="1" t="n"/>
      <c r="N49" s="1" t="n"/>
    </row>
    <row r="50">
      <c r="A50" s="1" t="n"/>
      <c r="B50" s="1" t="n"/>
      <c r="C50" s="1" t="n"/>
      <c r="D50" s="1" t="n"/>
      <c r="E50" s="1" t="n"/>
      <c r="F50" s="1" t="n"/>
      <c r="G50" s="1" t="n"/>
      <c r="H50" s="1" t="n"/>
      <c r="I50" s="1" t="n"/>
      <c r="J50" s="1" t="n"/>
      <c r="K50" s="1" t="n"/>
      <c r="L50" s="1" t="n"/>
      <c r="M50" s="1" t="n"/>
      <c r="N50" s="1" t="n"/>
    </row>
    <row r="51">
      <c r="A51" s="1" t="n"/>
      <c r="B51" s="1" t="n"/>
      <c r="C51" s="1" t="n"/>
      <c r="D51" s="1" t="n"/>
      <c r="E51" s="1" t="n"/>
      <c r="F51" s="1" t="n"/>
      <c r="G51" s="1" t="n"/>
      <c r="H51" s="1" t="n"/>
      <c r="I51" s="1" t="n"/>
      <c r="J51" s="1" t="n"/>
      <c r="K51" s="1" t="n"/>
      <c r="L51" s="1" t="n"/>
      <c r="M51" s="1" t="n"/>
      <c r="N51" s="1" t="n"/>
    </row>
    <row r="52">
      <c r="A52" s="1" t="n"/>
      <c r="B52" s="1" t="n"/>
      <c r="C52" s="1" t="n"/>
      <c r="D52" s="1" t="n"/>
      <c r="E52" s="1" t="n"/>
      <c r="F52" s="1" t="n"/>
      <c r="G52" s="1" t="n"/>
      <c r="H52" s="1" t="n"/>
      <c r="I52" s="1" t="n"/>
      <c r="J52" s="1" t="n"/>
      <c r="K52" s="1" t="n"/>
      <c r="L52" s="1" t="n"/>
      <c r="M52" s="1" t="n"/>
      <c r="N52" s="1" t="n"/>
    </row>
    <row r="53">
      <c r="A53" s="1" t="n"/>
      <c r="B53" s="1" t="n"/>
      <c r="C53" s="1" t="n"/>
      <c r="D53" s="1" t="n"/>
      <c r="E53" s="1" t="n"/>
      <c r="F53" s="1" t="n"/>
      <c r="G53" s="1" t="n"/>
      <c r="H53" s="1" t="n"/>
      <c r="I53" s="1" t="n"/>
      <c r="J53" s="1" t="n"/>
      <c r="K53" s="1" t="n"/>
      <c r="L53" s="1" t="n"/>
      <c r="M53" s="1" t="n"/>
      <c r="N53" s="1" t="n"/>
    </row>
    <row r="54">
      <c r="A54" s="1" t="n"/>
      <c r="B54" s="1" t="n"/>
      <c r="C54" s="1" t="n"/>
      <c r="D54" s="1" t="n"/>
      <c r="E54" s="1" t="n"/>
      <c r="F54" s="1" t="n"/>
      <c r="G54" s="1" t="n"/>
      <c r="H54" s="1" t="n"/>
      <c r="I54" s="1" t="n"/>
      <c r="J54" s="1" t="n"/>
      <c r="K54" s="1" t="n"/>
      <c r="L54" s="1" t="n"/>
      <c r="M54" s="1" t="n"/>
      <c r="N54" s="1" t="n"/>
    </row>
    <row r="55">
      <c r="A55" s="1" t="n"/>
      <c r="B55" s="1" t="n"/>
      <c r="C55" s="1" t="n"/>
      <c r="D55" s="1" t="n"/>
      <c r="E55" s="1" t="n"/>
      <c r="F55" s="1" t="n"/>
      <c r="G55" s="1" t="n"/>
      <c r="H55" s="1" t="n"/>
      <c r="I55" s="1" t="n"/>
      <c r="J55" s="1" t="n"/>
      <c r="K55" s="1" t="n"/>
      <c r="L55" s="1" t="n"/>
      <c r="M55" s="1" t="n"/>
      <c r="N55" s="1" t="n"/>
    </row>
    <row r="56">
      <c r="A56" s="1" t="n"/>
      <c r="B56" s="1" t="n"/>
      <c r="C56" s="1" t="n"/>
      <c r="D56" s="1" t="n"/>
      <c r="E56" s="1" t="n"/>
      <c r="F56" s="1" t="n"/>
      <c r="G56" s="1" t="n"/>
      <c r="H56" s="1" t="n"/>
      <c r="I56" s="1" t="n"/>
      <c r="J56" s="1" t="n"/>
      <c r="K56" s="1" t="n"/>
      <c r="L56" s="1" t="n"/>
      <c r="M56" s="1" t="n"/>
      <c r="N56" s="1" t="n"/>
    </row>
    <row r="57">
      <c r="A57" s="1" t="n"/>
      <c r="B57" s="1" t="n"/>
      <c r="C57" s="1" t="n"/>
      <c r="D57" s="1" t="n"/>
      <c r="E57" s="1" t="n"/>
      <c r="F57" s="1" t="n"/>
      <c r="G57" s="1" t="n"/>
      <c r="H57" s="1" t="n"/>
      <c r="I57" s="1" t="n"/>
      <c r="J57" s="1" t="n"/>
      <c r="K57" s="1" t="n"/>
      <c r="L57" s="1" t="n"/>
      <c r="M57" s="1" t="n"/>
      <c r="N57" s="1" t="n"/>
    </row>
    <row r="58">
      <c r="A58" s="1" t="n"/>
      <c r="B58" s="1" t="n"/>
      <c r="C58" s="1" t="n"/>
      <c r="D58" s="1" t="n"/>
      <c r="E58" s="1" t="n"/>
      <c r="F58" s="1" t="n"/>
      <c r="G58" s="1" t="n"/>
      <c r="H58" s="1" t="n"/>
      <c r="I58" s="1" t="n"/>
      <c r="J58" s="1" t="n"/>
      <c r="K58" s="1" t="n"/>
      <c r="L58" s="1" t="n"/>
      <c r="M58" s="1" t="n"/>
      <c r="N58" s="1" t="n"/>
    </row>
    <row r="59">
      <c r="A59" s="1" t="n"/>
      <c r="B59" s="1" t="n"/>
      <c r="C59" s="1" t="n"/>
      <c r="D59" s="1" t="n"/>
      <c r="E59" s="1" t="n"/>
      <c r="F59" s="1" t="n"/>
      <c r="G59" s="1" t="n"/>
      <c r="H59" s="1" t="n"/>
      <c r="I59" s="1" t="n"/>
      <c r="J59" s="1" t="n"/>
      <c r="K59" s="1" t="n"/>
      <c r="L59" s="1" t="n"/>
      <c r="M59" s="1" t="n"/>
      <c r="N59" s="1" t="n"/>
    </row>
    <row r="60">
      <c r="A60" s="1" t="n"/>
      <c r="B60" s="1" t="n"/>
      <c r="C60" s="1" t="n"/>
      <c r="D60" s="1" t="n"/>
      <c r="E60" s="1" t="n"/>
      <c r="F60" s="1" t="n"/>
      <c r="G60" s="1" t="n"/>
      <c r="H60" s="1" t="n"/>
      <c r="I60" s="1" t="n"/>
      <c r="J60" s="1" t="n"/>
      <c r="K60" s="1" t="n"/>
      <c r="L60" s="1" t="n"/>
      <c r="M60" s="1" t="n"/>
      <c r="N60" s="1" t="n"/>
    </row>
    <row r="61">
      <c r="A61" s="1" t="n"/>
      <c r="B61" s="1" t="n"/>
      <c r="C61" s="1" t="n"/>
      <c r="D61" s="1" t="n"/>
      <c r="E61" s="1" t="n"/>
      <c r="F61" s="1" t="n"/>
      <c r="G61" s="1" t="n"/>
      <c r="H61" s="1" t="n"/>
      <c r="I61" s="1" t="n"/>
      <c r="J61" s="1" t="n"/>
      <c r="K61" s="1" t="n"/>
      <c r="L61" s="1" t="n"/>
      <c r="M61" s="1" t="n"/>
      <c r="N61" s="1" t="n"/>
    </row>
    <row r="62">
      <c r="A62" s="1" t="n"/>
      <c r="B62" s="1" t="n"/>
      <c r="C62" s="1" t="n"/>
      <c r="D62" s="1" t="n"/>
      <c r="E62" s="1" t="n"/>
      <c r="F62" s="1" t="n"/>
      <c r="G62" s="1" t="n"/>
      <c r="H62" s="1" t="n"/>
      <c r="I62" s="1" t="n"/>
      <c r="J62" s="1" t="n"/>
      <c r="K62" s="1" t="n"/>
      <c r="L62" s="1" t="n"/>
      <c r="M62" s="1" t="n"/>
      <c r="N62" s="1" t="n"/>
    </row>
    <row r="63">
      <c r="A63" s="1" t="n"/>
      <c r="B63" s="20">
        <f>"Performance by industry, "&amp;$K$2</f>
        <v/>
      </c>
      <c r="N63" s="1" t="n"/>
    </row>
    <row r="64">
      <c r="A64" s="1" t="n"/>
      <c r="B64" s="45" t="inlineStr">
        <is>
          <t>Industry</t>
        </is>
      </c>
      <c r="C64" s="45" t="inlineStr">
        <is>
          <t># Entities</t>
        </is>
      </c>
      <c r="D64" s="45" t="inlineStr">
        <is>
          <t>Revenue</t>
        </is>
      </c>
      <c r="E64" s="45" t="inlineStr">
        <is>
          <t>EBITDA</t>
        </is>
      </c>
      <c r="F64" s="45" t="inlineStr">
        <is>
          <t>Margin</t>
        </is>
      </c>
      <c r="G64" s="1" t="n"/>
      <c r="H64" s="1" t="n"/>
      <c r="I64" s="1" t="n"/>
      <c r="J64" s="1" t="n"/>
      <c r="K64" s="1" t="n"/>
      <c r="L64" s="1" t="n"/>
      <c r="M64" s="1" t="n"/>
      <c r="N64" s="1" t="n"/>
    </row>
    <row r="65">
      <c r="A65" s="1" t="n"/>
      <c r="B65" s="1" t="inlineStr">
        <is>
          <t>Construction</t>
        </is>
      </c>
      <c r="C65" s="1">
        <f>COUNTIF(Dim_Entity[Industry],"Construction")</f>
        <v/>
      </c>
      <c r="D65" s="44">
        <f>-SUMIFS(Fact_TrialBalance[Amount],Fact_TrialBalance[Industry],"Construction",Fact_TrialBalance[Category],"Operating Revenue",Fact_TrialBalance[FiscalYear],$K$2)-SUMIFS(Fact_TrialBalance[Amount],Fact_TrialBalance[Industry],"Construction",Fact_TrialBalance[Category],"Investment &amp; Other Income",Fact_TrialBalance[FiscalYear],$K$2)</f>
        <v/>
      </c>
      <c r="E65" s="44">
        <f>-(SUMIFS(Fact_TrialBalance[Amount],Fact_TrialBalance[Industry],"Construction",Fact_TrialBalance[FiscalYear],$K$2)-SUMPRODUCT((Fact_TrialBalance[Industry]="Construction")*(Fact_TrialBalance[FiscalYear]=$K$2)*(ISNUMBER(MATCH(Fact_TrialBalance[Category],{"Interest &amp; Financing","Amortization","Income Tax"},0)))*Fact_TrialBalance[Amount]))</f>
        <v/>
      </c>
      <c r="F65" s="46">
        <f>IFERROR(E65/D65,0)</f>
        <v/>
      </c>
      <c r="G65" s="1" t="n"/>
      <c r="H65" s="1" t="n"/>
      <c r="I65" s="1" t="n"/>
      <c r="J65" s="1" t="n"/>
      <c r="K65" s="1" t="n"/>
      <c r="L65" s="1" t="n"/>
      <c r="M65" s="1" t="n"/>
      <c r="N65" s="1" t="n"/>
    </row>
    <row r="66">
      <c r="A66" s="1" t="n"/>
      <c r="B66" s="1" t="inlineStr">
        <is>
          <t>Hotel</t>
        </is>
      </c>
      <c r="C66" s="1">
        <f>COUNTIF(Dim_Entity[Industry],"Hotel")</f>
        <v/>
      </c>
      <c r="D66" s="44">
        <f>-SUMIFS(Fact_TrialBalance[Amount],Fact_TrialBalance[Industry],"Hotel",Fact_TrialBalance[Category],"Operating Revenue",Fact_TrialBalance[FiscalYear],$K$2)-SUMIFS(Fact_TrialBalance[Amount],Fact_TrialBalance[Industry],"Hotel",Fact_TrialBalance[Category],"Investment &amp; Other Income",Fact_TrialBalance[FiscalYear],$K$2)</f>
        <v/>
      </c>
      <c r="E66" s="44">
        <f>-(SUMIFS(Fact_TrialBalance[Amount],Fact_TrialBalance[Industry],"Hotel",Fact_TrialBalance[FiscalYear],$K$2)-SUMPRODUCT((Fact_TrialBalance[Industry]="Hotel")*(Fact_TrialBalance[FiscalYear]=$K$2)*(ISNUMBER(MATCH(Fact_TrialBalance[Category],{"Interest &amp; Financing","Amortization","Income Tax"},0)))*Fact_TrialBalance[Amount]))</f>
        <v/>
      </c>
      <c r="F66" s="46">
        <f>IFERROR(E66/D66,0)</f>
        <v/>
      </c>
      <c r="G66" s="1" t="n"/>
      <c r="H66" s="1" t="n"/>
      <c r="I66" s="1" t="n"/>
      <c r="J66" s="1" t="n"/>
      <c r="K66" s="1" t="n"/>
      <c r="L66" s="1" t="n"/>
      <c r="M66" s="1" t="n"/>
      <c r="N66" s="1" t="n"/>
    </row>
    <row r="67">
      <c r="A67" s="1" t="n"/>
      <c r="B67" s="1" t="inlineStr">
        <is>
          <t>Investments</t>
        </is>
      </c>
      <c r="C67" s="1">
        <f>COUNTIF(Dim_Entity[Industry],"Investments")</f>
        <v/>
      </c>
      <c r="D67" s="44">
        <f>-SUMIFS(Fact_TrialBalance[Amount],Fact_TrialBalance[Industry],"Investments",Fact_TrialBalance[Category],"Operating Revenue",Fact_TrialBalance[FiscalYear],$K$2)-SUMIFS(Fact_TrialBalance[Amount],Fact_TrialBalance[Industry],"Investments",Fact_TrialBalance[Category],"Investment &amp; Other Income",Fact_TrialBalance[FiscalYear],$K$2)</f>
        <v/>
      </c>
      <c r="E67" s="44">
        <f>-(SUMIFS(Fact_TrialBalance[Amount],Fact_TrialBalance[Industry],"Investments",Fact_TrialBalance[FiscalYear],$K$2)-SUMPRODUCT((Fact_TrialBalance[Industry]="Investments")*(Fact_TrialBalance[FiscalYear]=$K$2)*(ISNUMBER(MATCH(Fact_TrialBalance[Category],{"Interest &amp; Financing","Amortization","Income Tax"},0)))*Fact_TrialBalance[Amount]))</f>
        <v/>
      </c>
      <c r="F67" s="46">
        <f>IFERROR(E67/D67,0)</f>
        <v/>
      </c>
      <c r="G67" s="1" t="n"/>
      <c r="H67" s="1" t="n"/>
      <c r="I67" s="1" t="n"/>
      <c r="J67" s="1" t="n"/>
      <c r="K67" s="1" t="n"/>
      <c r="L67" s="1" t="n"/>
      <c r="M67" s="1" t="n"/>
      <c r="N67" s="1" t="n"/>
    </row>
    <row r="68">
      <c r="A68" s="1" t="n"/>
      <c r="B68" s="1" t="inlineStr">
        <is>
          <t>Real estate</t>
        </is>
      </c>
      <c r="C68" s="1">
        <f>COUNTIF(Dim_Entity[Industry],"Real estate")</f>
        <v/>
      </c>
      <c r="D68" s="44">
        <f>-SUMIFS(Fact_TrialBalance[Amount],Fact_TrialBalance[Industry],"Real estate",Fact_TrialBalance[Category],"Operating Revenue",Fact_TrialBalance[FiscalYear],$K$2)-SUMIFS(Fact_TrialBalance[Amount],Fact_TrialBalance[Industry],"Real estate",Fact_TrialBalance[Category],"Investment &amp; Other Income",Fact_TrialBalance[FiscalYear],$K$2)</f>
        <v/>
      </c>
      <c r="E68" s="44">
        <f>-(SUMIFS(Fact_TrialBalance[Amount],Fact_TrialBalance[Industry],"Real estate",Fact_TrialBalance[FiscalYear],$K$2)-SUMPRODUCT((Fact_TrialBalance[Industry]="Real estate")*(Fact_TrialBalance[FiscalYear]=$K$2)*(ISNUMBER(MATCH(Fact_TrialBalance[Category],{"Interest &amp; Financing","Amortization","Income Tax"},0)))*Fact_TrialBalance[Amount]))</f>
        <v/>
      </c>
      <c r="F68" s="46">
        <f>IFERROR(E68/D68,0)</f>
        <v/>
      </c>
      <c r="G68" s="1" t="n"/>
      <c r="H68" s="1" t="n"/>
      <c r="I68" s="1" t="n"/>
      <c r="J68" s="1" t="n"/>
      <c r="K68" s="1" t="n"/>
      <c r="L68" s="1" t="n"/>
      <c r="M68" s="1" t="n"/>
      <c r="N68" s="1" t="n"/>
    </row>
    <row r="69">
      <c r="A69" s="1" t="n"/>
      <c r="B69" s="1" t="inlineStr">
        <is>
          <t>Rental</t>
        </is>
      </c>
      <c r="C69" s="1">
        <f>COUNTIF(Dim_Entity[Industry],"Rental")</f>
        <v/>
      </c>
      <c r="D69" s="44">
        <f>-SUMIFS(Fact_TrialBalance[Amount],Fact_TrialBalance[Industry],"Rental",Fact_TrialBalance[Category],"Operating Revenue",Fact_TrialBalance[FiscalYear],$K$2)-SUMIFS(Fact_TrialBalance[Amount],Fact_TrialBalance[Industry],"Rental",Fact_TrialBalance[Category],"Investment &amp; Other Income",Fact_TrialBalance[FiscalYear],$K$2)</f>
        <v/>
      </c>
      <c r="E69" s="44">
        <f>-(SUMIFS(Fact_TrialBalance[Amount],Fact_TrialBalance[Industry],"Rental",Fact_TrialBalance[FiscalYear],$K$2)-SUMPRODUCT((Fact_TrialBalance[Industry]="Rental")*(Fact_TrialBalance[FiscalYear]=$K$2)*(ISNUMBER(MATCH(Fact_TrialBalance[Category],{"Interest &amp; Financing","Amortization","Income Tax"},0)))*Fact_TrialBalance[Amount]))</f>
        <v/>
      </c>
      <c r="F69" s="46">
        <f>IFERROR(E69/D69,0)</f>
        <v/>
      </c>
      <c r="G69" s="1" t="n"/>
      <c r="H69" s="1" t="n"/>
      <c r="I69" s="1" t="n"/>
      <c r="J69" s="1" t="n"/>
      <c r="K69" s="1" t="n"/>
      <c r="L69" s="1" t="n"/>
      <c r="M69" s="1" t="n"/>
      <c r="N69" s="1" t="n"/>
    </row>
    <row r="70">
      <c r="A70" s="1" t="n"/>
      <c r="B70" s="1" t="inlineStr">
        <is>
          <t>Restaurant</t>
        </is>
      </c>
      <c r="C70" s="1">
        <f>COUNTIF(Dim_Entity[Industry],"Restaurant")</f>
        <v/>
      </c>
      <c r="D70" s="44">
        <f>-SUMIFS(Fact_TrialBalance[Amount],Fact_TrialBalance[Industry],"Restaurant",Fact_TrialBalance[Category],"Operating Revenue",Fact_TrialBalance[FiscalYear],$K$2)-SUMIFS(Fact_TrialBalance[Amount],Fact_TrialBalance[Industry],"Restaurant",Fact_TrialBalance[Category],"Investment &amp; Other Income",Fact_TrialBalance[FiscalYear],$K$2)</f>
        <v/>
      </c>
      <c r="E70" s="44">
        <f>-(SUMIFS(Fact_TrialBalance[Amount],Fact_TrialBalance[Industry],"Restaurant",Fact_TrialBalance[FiscalYear],$K$2)-SUMPRODUCT((Fact_TrialBalance[Industry]="Restaurant")*(Fact_TrialBalance[FiscalYear]=$K$2)*(ISNUMBER(MATCH(Fact_TrialBalance[Category],{"Interest &amp; Financing","Amortization","Income Tax"},0)))*Fact_TrialBalance[Amount]))</f>
        <v/>
      </c>
      <c r="F70" s="46">
        <f>IFERROR(E70/D70,0)</f>
        <v/>
      </c>
      <c r="G70" s="1" t="n"/>
      <c r="H70" s="1" t="n"/>
      <c r="I70" s="1" t="n"/>
      <c r="J70" s="1" t="n"/>
      <c r="K70" s="1" t="n"/>
      <c r="L70" s="1" t="n"/>
      <c r="M70" s="1" t="n"/>
      <c r="N70" s="1" t="n"/>
    </row>
    <row r="71">
      <c r="A71" s="1" t="n"/>
      <c r="B71" s="47" t="inlineStr">
        <is>
          <t>"Revenue" here = Operating Revenue + Investment &amp; Other Income, matching EBITDA's income scope — HoldCos earn mainly via intercompany dividends/interest.</t>
        </is>
      </c>
      <c r="G71" s="1" t="n"/>
      <c r="H71" s="1" t="n"/>
      <c r="I71" s="1" t="n"/>
      <c r="J71" s="1" t="n"/>
      <c r="K71" s="1" t="n"/>
      <c r="L71" s="1" t="n"/>
      <c r="M71" s="1" t="n"/>
      <c r="N71" s="1" t="n"/>
    </row>
    <row r="72">
      <c r="A72" s="1" t="n"/>
      <c r="B72" s="1" t="n"/>
      <c r="C72" s="1" t="n"/>
      <c r="D72" s="1" t="n"/>
      <c r="E72" s="1" t="n"/>
      <c r="F72" s="1" t="n"/>
      <c r="G72" s="1" t="n"/>
      <c r="H72" s="1" t="n"/>
      <c r="I72" s="1" t="n"/>
      <c r="J72" s="1" t="n"/>
      <c r="K72" s="1" t="n"/>
      <c r="L72" s="1" t="n"/>
      <c r="M72" s="1" t="n"/>
      <c r="N72" s="1" t="n"/>
    </row>
    <row r="73">
      <c r="A73" s="1" t="n"/>
      <c r="B73" s="1" t="n"/>
      <c r="C73" s="1" t="n"/>
      <c r="D73" s="1" t="n"/>
      <c r="E73" s="1" t="n"/>
      <c r="F73" s="1" t="n"/>
      <c r="G73" s="1" t="n"/>
      <c r="H73" s="1" t="n"/>
      <c r="I73" s="1" t="n"/>
      <c r="J73" s="1" t="n"/>
      <c r="K73" s="1" t="n"/>
      <c r="L73" s="1" t="n"/>
      <c r="M73" s="1" t="n"/>
      <c r="N73" s="1" t="n"/>
    </row>
    <row r="74">
      <c r="A74" s="1" t="n"/>
      <c r="B74" s="1" t="n"/>
      <c r="C74" s="1" t="n"/>
      <c r="D74" s="1" t="n"/>
      <c r="E74" s="1" t="n"/>
      <c r="F74" s="1" t="n"/>
      <c r="G74" s="1" t="n"/>
      <c r="H74" s="1" t="n"/>
      <c r="I74" s="1" t="n"/>
      <c r="J74" s="1" t="n"/>
      <c r="K74" s="1" t="n"/>
      <c r="L74" s="1" t="n"/>
      <c r="M74" s="1" t="n"/>
      <c r="N74" s="1" t="n"/>
    </row>
    <row r="75">
      <c r="A75" s="1" t="n"/>
      <c r="B75" s="1" t="n"/>
      <c r="C75" s="1" t="n"/>
      <c r="D75" s="1" t="n"/>
      <c r="E75" s="1" t="n"/>
      <c r="F75" s="1" t="n"/>
      <c r="G75" s="1" t="n"/>
      <c r="H75" s="1" t="n"/>
      <c r="I75" s="1" t="n"/>
      <c r="J75" s="1" t="n"/>
      <c r="K75" s="1" t="n"/>
      <c r="L75" s="1" t="n"/>
      <c r="M75" s="1" t="n"/>
      <c r="N75" s="1" t="n"/>
    </row>
    <row r="76">
      <c r="A76" s="1" t="n"/>
      <c r="B76" s="1" t="n"/>
      <c r="C76" s="1" t="n"/>
      <c r="D76" s="1" t="n"/>
      <c r="E76" s="1" t="n"/>
      <c r="F76" s="1" t="n"/>
      <c r="G76" s="1" t="n"/>
      <c r="H76" s="1" t="n"/>
      <c r="I76" s="1" t="n"/>
      <c r="J76" s="1" t="n"/>
      <c r="K76" s="1" t="n"/>
      <c r="L76" s="1" t="n"/>
      <c r="M76" s="1" t="n"/>
      <c r="N76" s="1" t="n"/>
    </row>
    <row r="77">
      <c r="A77" s="1" t="n"/>
      <c r="B77" s="1" t="n"/>
      <c r="C77" s="1" t="n"/>
      <c r="D77" s="1" t="n"/>
      <c r="E77" s="1" t="n"/>
      <c r="F77" s="1" t="n"/>
      <c r="G77" s="1" t="n"/>
      <c r="H77" s="1" t="n"/>
      <c r="I77" s="1" t="n"/>
      <c r="J77" s="1" t="n"/>
      <c r="K77" s="1" t="n"/>
      <c r="L77" s="1" t="n"/>
      <c r="M77" s="1" t="n"/>
      <c r="N77" s="1" t="n"/>
    </row>
    <row r="78">
      <c r="A78" s="1" t="n"/>
      <c r="B78" s="1" t="n"/>
      <c r="C78" s="1" t="n"/>
      <c r="D78" s="1" t="n"/>
      <c r="E78" s="1" t="n"/>
      <c r="F78" s="1" t="n"/>
      <c r="G78" s="1" t="n"/>
      <c r="H78" s="1" t="n"/>
      <c r="I78" s="1" t="n"/>
      <c r="J78" s="1" t="n"/>
      <c r="K78" s="1" t="n"/>
      <c r="L78" s="1" t="n"/>
      <c r="M78" s="1" t="n"/>
      <c r="N78" s="1" t="n"/>
    </row>
    <row r="79">
      <c r="A79" s="1" t="n"/>
      <c r="B79" s="1" t="n"/>
      <c r="C79" s="1" t="n"/>
      <c r="D79" s="1" t="n"/>
      <c r="E79" s="1" t="n"/>
      <c r="F79" s="1" t="n"/>
      <c r="G79" s="1" t="n"/>
      <c r="H79" s="1" t="n"/>
      <c r="I79" s="1" t="n"/>
      <c r="J79" s="1" t="n"/>
      <c r="K79" s="1" t="n"/>
      <c r="L79" s="1" t="n"/>
      <c r="M79" s="1" t="n"/>
      <c r="N79" s="1" t="n"/>
    </row>
    <row r="80">
      <c r="A80" s="1" t="n"/>
      <c r="B80" s="1" t="n"/>
      <c r="C80" s="1" t="n"/>
      <c r="D80" s="1" t="n"/>
      <c r="E80" s="1" t="n"/>
      <c r="F80" s="1" t="n"/>
      <c r="G80" s="1" t="n"/>
      <c r="H80" s="1" t="n"/>
      <c r="I80" s="1" t="n"/>
      <c r="J80" s="1" t="n"/>
      <c r="K80" s="1" t="n"/>
      <c r="L80" s="1" t="n"/>
      <c r="M80" s="1" t="n"/>
      <c r="N80" s="1" t="n"/>
    </row>
    <row r="81">
      <c r="A81" s="1" t="n"/>
      <c r="B81" s="1" t="n"/>
      <c r="C81" s="1" t="n"/>
      <c r="D81" s="1" t="n"/>
      <c r="E81" s="1" t="n"/>
      <c r="F81" s="1" t="n"/>
      <c r="G81" s="1" t="n"/>
      <c r="H81" s="1" t="n"/>
      <c r="I81" s="1" t="n"/>
      <c r="J81" s="1" t="n"/>
      <c r="K81" s="1" t="n"/>
      <c r="L81" s="1" t="n"/>
      <c r="M81" s="1" t="n"/>
      <c r="N81" s="1" t="n"/>
    </row>
    <row r="82">
      <c r="A82" s="1" t="n"/>
      <c r="B82" s="1" t="n"/>
      <c r="C82" s="1" t="n"/>
      <c r="D82" s="1" t="n"/>
      <c r="E82" s="1" t="n"/>
      <c r="F82" s="1" t="n"/>
      <c r="G82" s="1" t="n"/>
      <c r="H82" s="1" t="n"/>
      <c r="I82" s="1" t="n"/>
      <c r="J82" s="1" t="n"/>
      <c r="K82" s="1" t="n"/>
      <c r="L82" s="1" t="n"/>
      <c r="M82" s="1" t="n"/>
      <c r="N82" s="1" t="n"/>
    </row>
    <row r="83">
      <c r="A83" s="1" t="n"/>
      <c r="B83" s="1" t="n"/>
      <c r="C83" s="1" t="n"/>
      <c r="D83" s="1" t="n"/>
      <c r="E83" s="1" t="n"/>
      <c r="F83" s="1" t="n"/>
      <c r="G83" s="1" t="n"/>
      <c r="H83" s="1" t="n"/>
      <c r="I83" s="1" t="n"/>
      <c r="J83" s="1" t="n"/>
      <c r="K83" s="1" t="n"/>
      <c r="L83" s="1" t="n"/>
      <c r="M83" s="1" t="n"/>
      <c r="N83" s="1" t="n"/>
    </row>
    <row r="84">
      <c r="A84" s="1" t="n"/>
      <c r="B84" s="1" t="n"/>
      <c r="C84" s="1" t="n"/>
      <c r="D84" s="1" t="n"/>
      <c r="E84" s="1" t="n"/>
      <c r="F84" s="1" t="n"/>
      <c r="G84" s="1" t="n"/>
      <c r="H84" s="1" t="n"/>
      <c r="I84" s="1" t="n"/>
      <c r="J84" s="1" t="n"/>
      <c r="K84" s="1" t="n"/>
      <c r="L84" s="1" t="n"/>
      <c r="M84" s="1" t="n"/>
      <c r="N84" s="1" t="n"/>
    </row>
    <row r="85">
      <c r="A85" s="1" t="n"/>
      <c r="B85" s="1" t="n"/>
      <c r="C85" s="1" t="n"/>
      <c r="D85" s="1" t="n"/>
      <c r="E85" s="1" t="n"/>
      <c r="F85" s="1" t="n"/>
      <c r="G85" s="1" t="n"/>
      <c r="H85" s="1" t="n"/>
      <c r="I85" s="1" t="n"/>
      <c r="J85" s="1" t="n"/>
      <c r="K85" s="1" t="n"/>
      <c r="L85" s="1" t="n"/>
      <c r="M85" s="1" t="n"/>
      <c r="N85" s="1" t="n"/>
    </row>
    <row r="86">
      <c r="A86" s="1" t="n"/>
      <c r="B86" s="1" t="n"/>
      <c r="C86" s="1" t="n"/>
      <c r="D86" s="1" t="n"/>
      <c r="E86" s="1" t="n"/>
      <c r="F86" s="1" t="n"/>
      <c r="G86" s="1" t="n"/>
      <c r="H86" s="1" t="n"/>
      <c r="I86" s="1" t="n"/>
      <c r="J86" s="1" t="n"/>
      <c r="K86" s="1" t="n"/>
      <c r="L86" s="1" t="n"/>
      <c r="M86" s="1" t="n"/>
      <c r="N86" s="1" t="n"/>
    </row>
    <row r="87">
      <c r="A87" s="1" t="n"/>
      <c r="B87" s="1" t="n"/>
      <c r="C87" s="1" t="n"/>
      <c r="D87" s="1" t="n"/>
      <c r="E87" s="1" t="n"/>
      <c r="F87" s="1" t="n"/>
      <c r="G87" s="1" t="n"/>
      <c r="H87" s="1" t="n"/>
      <c r="I87" s="1" t="n"/>
      <c r="J87" s="1" t="n"/>
      <c r="K87" s="1" t="n"/>
      <c r="L87" s="1" t="n"/>
      <c r="M87" s="1" t="n"/>
      <c r="N87" s="1" t="n"/>
    </row>
    <row r="88">
      <c r="A88" s="1" t="n"/>
      <c r="B88" s="1" t="n"/>
      <c r="C88" s="1" t="n"/>
      <c r="D88" s="1" t="n"/>
      <c r="E88" s="1" t="n"/>
      <c r="F88" s="1" t="n"/>
      <c r="G88" s="1" t="n"/>
      <c r="H88" s="1" t="n"/>
      <c r="I88" s="1" t="n"/>
      <c r="J88" s="1" t="n"/>
      <c r="K88" s="1" t="n"/>
      <c r="L88" s="1" t="n"/>
      <c r="M88" s="1" t="n"/>
      <c r="N88" s="1" t="n"/>
    </row>
    <row r="89">
      <c r="A89" s="1" t="n"/>
      <c r="B89" s="1" t="n"/>
      <c r="C89" s="1" t="n"/>
      <c r="D89" s="1" t="n"/>
      <c r="E89" s="1" t="n"/>
      <c r="F89" s="1" t="n"/>
      <c r="G89" s="1" t="n"/>
      <c r="H89" s="1" t="n"/>
      <c r="I89" s="1" t="n"/>
      <c r="J89" s="1" t="n"/>
      <c r="K89" s="1" t="n"/>
      <c r="L89" s="1" t="n"/>
      <c r="M89" s="1" t="n"/>
      <c r="N89" s="1" t="n"/>
    </row>
    <row r="90">
      <c r="A90" s="1" t="n"/>
      <c r="B90" s="1" t="n"/>
      <c r="C90" s="1" t="n"/>
      <c r="D90" s="1" t="n"/>
      <c r="E90" s="1" t="n"/>
      <c r="F90" s="1" t="n"/>
      <c r="G90" s="1" t="n"/>
      <c r="H90" s="1" t="n"/>
      <c r="I90" s="1" t="n"/>
      <c r="J90" s="1" t="n"/>
      <c r="K90" s="1" t="n"/>
      <c r="L90" s="1" t="n"/>
      <c r="M90" s="1" t="n"/>
      <c r="N90" s="1" t="n"/>
    </row>
    <row r="91">
      <c r="A91" s="1" t="n"/>
      <c r="B91" s="1" t="n"/>
      <c r="C91" s="1" t="n"/>
      <c r="D91" s="1" t="n"/>
      <c r="E91" s="1" t="n"/>
      <c r="F91" s="1" t="n"/>
      <c r="G91" s="1" t="n"/>
      <c r="H91" s="1" t="n"/>
      <c r="I91" s="1" t="n"/>
      <c r="J91" s="1" t="n"/>
      <c r="K91" s="1" t="n"/>
      <c r="L91" s="1" t="n"/>
      <c r="M91" s="1" t="n"/>
      <c r="N91" s="1" t="n"/>
    </row>
    <row r="92">
      <c r="A92" s="1" t="n"/>
      <c r="B92" s="1" t="n"/>
      <c r="C92" s="1" t="n"/>
      <c r="D92" s="1" t="n"/>
      <c r="E92" s="1" t="n"/>
      <c r="F92" s="1" t="n"/>
      <c r="G92" s="1" t="n"/>
      <c r="H92" s="1" t="n"/>
      <c r="I92" s="1" t="n"/>
      <c r="J92" s="1" t="n"/>
      <c r="K92" s="1" t="n"/>
      <c r="L92" s="1" t="n"/>
      <c r="M92" s="1" t="n"/>
      <c r="N92" s="1" t="n"/>
    </row>
    <row r="93">
      <c r="A93" s="1" t="n"/>
      <c r="B93" s="1" t="n"/>
      <c r="C93" s="1" t="n"/>
      <c r="D93" s="1" t="n"/>
      <c r="E93" s="1" t="n"/>
      <c r="F93" s="1" t="n"/>
      <c r="G93" s="1" t="n"/>
      <c r="H93" s="1" t="n"/>
      <c r="I93" s="1" t="n"/>
      <c r="J93" s="1" t="n"/>
      <c r="K93" s="1" t="n"/>
      <c r="L93" s="1" t="n"/>
      <c r="M93" s="1" t="n"/>
      <c r="N93" s="1" t="n"/>
    </row>
    <row r="94">
      <c r="A94" s="1" t="n"/>
      <c r="B94" s="1" t="n"/>
      <c r="C94" s="1" t="n"/>
      <c r="D94" s="1" t="n"/>
      <c r="E94" s="1" t="n"/>
      <c r="F94" s="1" t="n"/>
      <c r="G94" s="1" t="n"/>
      <c r="H94" s="1" t="n"/>
      <c r="I94" s="1" t="n"/>
      <c r="J94" s="1" t="n"/>
      <c r="K94" s="1" t="n"/>
      <c r="L94" s="1" t="n"/>
      <c r="M94" s="1" t="n"/>
      <c r="N94" s="1" t="n"/>
    </row>
    <row r="95">
      <c r="A95" s="1" t="n"/>
      <c r="B95" s="1" t="n"/>
      <c r="C95" s="1" t="n"/>
      <c r="D95" s="1" t="n"/>
      <c r="E95" s="1" t="n"/>
      <c r="F95" s="1" t="n"/>
      <c r="G95" s="1" t="n"/>
      <c r="H95" s="1" t="n"/>
      <c r="I95" s="1" t="n"/>
      <c r="J95" s="1" t="n"/>
      <c r="K95" s="1" t="n"/>
      <c r="L95" s="1" t="n"/>
      <c r="M95" s="1" t="n"/>
      <c r="N95" s="1" t="n"/>
    </row>
  </sheetData>
  <mergeCells count="47">
    <mergeCell ref="L17:M17"/>
    <mergeCell ref="B42:M42"/>
    <mergeCell ref="J14:K14"/>
    <mergeCell ref="B15:C16"/>
    <mergeCell ref="C24:M24"/>
    <mergeCell ref="D15:E16"/>
    <mergeCell ref="B31:F31"/>
    <mergeCell ref="B71:F71"/>
    <mergeCell ref="B4:M5"/>
    <mergeCell ref="B38:M38"/>
    <mergeCell ref="B34:M34"/>
    <mergeCell ref="K2:M2"/>
    <mergeCell ref="C26:M26"/>
    <mergeCell ref="B28:M28"/>
    <mergeCell ref="B37:M37"/>
    <mergeCell ref="C25:M25"/>
    <mergeCell ref="H15:I16"/>
    <mergeCell ref="B14:C14"/>
    <mergeCell ref="B40:M40"/>
    <mergeCell ref="B17:C17"/>
    <mergeCell ref="L14:M14"/>
    <mergeCell ref="D17:E17"/>
    <mergeCell ref="C22:M22"/>
    <mergeCell ref="H17:I17"/>
    <mergeCell ref="B6:M6"/>
    <mergeCell ref="B29:F29"/>
    <mergeCell ref="B33:M33"/>
    <mergeCell ref="B11:M12"/>
    <mergeCell ref="B20:M20"/>
    <mergeCell ref="C21:M21"/>
    <mergeCell ref="B63:M63"/>
    <mergeCell ref="B36:M36"/>
    <mergeCell ref="F15:G16"/>
    <mergeCell ref="B2:H2"/>
    <mergeCell ref="H30:M30"/>
    <mergeCell ref="B35:M35"/>
    <mergeCell ref="C23:M23"/>
    <mergeCell ref="B30:F30"/>
    <mergeCell ref="H29:M29"/>
    <mergeCell ref="B39:M39"/>
    <mergeCell ref="J15:K16"/>
    <mergeCell ref="D14:E14"/>
    <mergeCell ref="L15:M16"/>
    <mergeCell ref="H31:M31"/>
    <mergeCell ref="F14:G14"/>
    <mergeCell ref="H14:I14"/>
    <mergeCell ref="J17:K17"/>
  </mergeCells>
  <dataValidations count="1">
    <dataValidation sqref="K2" showDropDown="0" showInputMessage="0" showErrorMessage="0" allowBlank="0" type="list">
      <formula1>=Dim_Calendar!$A$2:$A$4</formula1>
    </dataValidation>
  </dataValidations>
  <hyperlinks>
    <hyperlink xmlns:r="http://schemas.openxmlformats.org/officeDocument/2006/relationships" ref="D8" r:id="rId1"/>
    <hyperlink xmlns:r="http://schemas.openxmlformats.org/officeDocument/2006/relationships" ref="F8" r:id="rId2"/>
    <hyperlink xmlns:r="http://schemas.openxmlformats.org/officeDocument/2006/relationships" ref="H8" r:id="rId3"/>
  </hyperlinks>
  <printOptions horizontalCentered="0"/>
  <pageMargins left="0.75" right="0.75" top="1" bottom="1" header="0.5" footer="0.5"/>
  <pageSetup orientation="landscape" fitToHeight="0" fitToWidth="1"/>
  <drawing xmlns:r="http://schemas.openxmlformats.org/officeDocument/2006/relationships" r:id="rId4"/>
</worksheet>
</file>

<file path=xl/worksheets/sheet2.xml><?xml version="1.0" encoding="utf-8"?>
<worksheet xmlns="http://schemas.openxmlformats.org/spreadsheetml/2006/main">
  <sheetPr>
    <tabColor rgb="001C2B45"/>
    <outlinePr summaryBelow="1" summaryRight="1"/>
    <pageSetUpPr fitToPage="1"/>
  </sheetPr>
  <dimension ref="A1:L70"/>
  <sheetViews>
    <sheetView showGridLines="0" workbookViewId="0">
      <pane ySplit="4" topLeftCell="A5" activePane="bottomLeft" state="frozen"/>
      <selection pane="bottomLeft" activeCell="A1" sqref="A1"/>
    </sheetView>
  </sheetViews>
  <sheetFormatPr baseColWidth="8" defaultRowHeight="15"/>
  <cols>
    <col width="3" customWidth="1" min="1" max="1"/>
    <col width="15" customWidth="1" min="2" max="2"/>
    <col width="15" customWidth="1" min="3" max="3"/>
    <col width="15" customWidth="1" min="4" max="4"/>
    <col width="15" customWidth="1" min="5" max="5"/>
    <col width="3" customWidth="1" min="6" max="6"/>
    <col width="15" customWidth="1" min="7" max="7"/>
    <col width="15" customWidth="1" min="8" max="8"/>
    <col width="15" customWidth="1" min="9" max="9"/>
    <col width="15" customWidth="1" min="10" max="10"/>
  </cols>
  <sheetData>
    <row r="1">
      <c r="A1" s="1" t="n"/>
      <c r="B1" s="48" t="inlineStr">
        <is>
          <t>← 01 Exec Summary</t>
        </is>
      </c>
      <c r="C1" s="1" t="n"/>
      <c r="D1" s="1" t="n"/>
      <c r="E1" s="1" t="n"/>
      <c r="F1" s="1" t="n"/>
      <c r="G1" s="1" t="n"/>
      <c r="H1" s="1" t="n"/>
      <c r="I1" s="1" t="n"/>
      <c r="J1" s="1" t="n"/>
      <c r="K1" s="1" t="n"/>
      <c r="L1" s="1" t="n"/>
    </row>
    <row r="2" ht="22" customHeight="1">
      <c r="A2" s="1" t="n"/>
      <c r="B2" s="49" t="inlineStr">
        <is>
          <t>SANDHU GROUP — Financial Dashboard</t>
        </is>
      </c>
      <c r="C2" s="50" t="n"/>
      <c r="D2" s="50" t="n"/>
      <c r="E2" s="50" t="n"/>
      <c r="F2" s="50" t="n"/>
      <c r="G2" s="50" t="n"/>
      <c r="H2" s="50" t="n"/>
      <c r="I2" s="50" t="n"/>
      <c r="J2" s="50" t="n"/>
      <c r="K2" s="1" t="n"/>
      <c r="L2" s="1" t="n"/>
    </row>
    <row r="3" ht="10" customHeight="1">
      <c r="A3" s="1" t="n"/>
      <c r="B3" s="50" t="n"/>
      <c r="C3" s="50" t="n"/>
      <c r="D3" s="50" t="n"/>
      <c r="E3" s="50" t="n"/>
      <c r="F3" s="50" t="n"/>
      <c r="G3" s="50" t="n"/>
      <c r="H3" s="50" t="n"/>
      <c r="I3" s="50" t="n"/>
      <c r="J3" s="50" t="n"/>
      <c r="K3" s="1" t="n"/>
      <c r="L3" s="1" t="n"/>
    </row>
    <row r="4" ht="18" customHeight="1">
      <c r="A4" s="1" t="n"/>
      <c r="B4" s="51" t="inlineStr">
        <is>
          <t>CaseWare WTB + GIFI categorization  •  Fiscal year end March 31  •  Figures in CAD</t>
        </is>
      </c>
      <c r="K4" s="1" t="n"/>
      <c r="L4" s="1" t="n"/>
    </row>
    <row r="5">
      <c r="A5" s="1" t="n"/>
      <c r="B5" s="1" t="n"/>
      <c r="C5" s="1" t="n"/>
      <c r="D5" s="1" t="n"/>
      <c r="E5" s="1" t="n"/>
      <c r="F5" s="1" t="n"/>
      <c r="G5" s="1" t="n"/>
      <c r="H5" s="1" t="n"/>
      <c r="I5" s="1" t="n"/>
      <c r="J5" s="1" t="n"/>
      <c r="K5" s="1" t="n"/>
      <c r="L5" s="1" t="n"/>
    </row>
    <row r="6">
      <c r="A6" s="1" t="n"/>
      <c r="B6" s="52" t="inlineStr">
        <is>
          <t>Select Entity</t>
        </is>
      </c>
      <c r="C6" s="53" t="inlineStr">
        <is>
          <t>Restaurant Indiarosa II</t>
        </is>
      </c>
      <c r="F6" s="1" t="n"/>
      <c r="G6" s="52" t="inlineStr">
        <is>
          <t>Fiscal Year (this page)</t>
        </is>
      </c>
      <c r="H6" s="53" t="inlineStr">
        <is>
          <t>FY2025</t>
        </is>
      </c>
      <c r="I6" s="54" t="inlineStr">
        <is>
          <t>independent of 01 Exec Summary's selector — see note</t>
        </is>
      </c>
      <c r="J6" s="1" t="n"/>
      <c r="K6" s="1" t="n"/>
      <c r="L6" s="1" t="n"/>
    </row>
    <row r="7">
      <c r="A7" s="1" t="n"/>
      <c r="B7" s="1" t="n"/>
      <c r="C7" s="1" t="n"/>
      <c r="D7" s="1" t="n"/>
      <c r="E7" s="1" t="n"/>
      <c r="F7" s="1" t="n"/>
      <c r="G7" s="1" t="n"/>
      <c r="H7" s="1" t="n"/>
      <c r="I7" s="1" t="n"/>
      <c r="J7" s="1" t="n"/>
      <c r="K7" s="1" t="n"/>
      <c r="L7" s="1" t="n"/>
    </row>
    <row r="8">
      <c r="A8" s="1" t="n"/>
      <c r="B8" s="43" t="inlineStr">
        <is>
          <t>EntityId -&gt;</t>
        </is>
      </c>
      <c r="C8" s="43">
        <f>INDEX(Dim_Entity!$A$2:$A$17,MATCH($C$6,Dim_Entity!$B$2:$B$17,0))</f>
        <v/>
      </c>
      <c r="D8" s="1" t="n"/>
      <c r="E8" s="1" t="n"/>
      <c r="F8" s="1" t="n"/>
      <c r="G8" s="1" t="n"/>
      <c r="H8" s="1" t="n"/>
      <c r="I8" s="1" t="n"/>
      <c r="J8" s="1" t="n"/>
      <c r="K8" s="1" t="n"/>
      <c r="L8" s="1" t="n"/>
    </row>
    <row r="9">
      <c r="A9" s="1" t="n"/>
      <c r="B9" s="1" t="n"/>
      <c r="C9" s="1" t="n"/>
      <c r="D9" s="1" t="n"/>
      <c r="E9" s="1" t="n"/>
      <c r="F9" s="1" t="n"/>
      <c r="G9" s="1" t="n"/>
      <c r="H9" s="1" t="n"/>
      <c r="I9" s="1" t="n"/>
      <c r="J9" s="1" t="n"/>
      <c r="K9" s="1" t="n"/>
      <c r="L9" s="1" t="n"/>
    </row>
    <row r="10" ht="16" customHeight="1">
      <c r="A10" s="1" t="n"/>
      <c r="B10" s="55" t="inlineStr">
        <is>
          <t>REVENUE</t>
        </is>
      </c>
      <c r="C10" s="56" t="n"/>
      <c r="D10" s="55" t="inlineStr">
        <is>
          <t>EBITDA</t>
        </is>
      </c>
      <c r="E10" s="56" t="n"/>
      <c r="F10" s="1" t="n"/>
      <c r="G10" s="55" t="inlineStr">
        <is>
          <t>NET INCOME</t>
        </is>
      </c>
      <c r="H10" s="56" t="n"/>
      <c r="I10" s="55" t="inlineStr">
        <is>
          <t>INCOME TAX</t>
        </is>
      </c>
      <c r="J10" s="56" t="n"/>
      <c r="K10" s="1" t="n"/>
      <c r="L10" s="1" t="n"/>
    </row>
    <row r="11">
      <c r="A11" s="1" t="n"/>
      <c r="B11" s="57">
        <f>-(SUMIFS(Fact_TrialBalance[Amount],Fact_TrialBalance[EntityId],$C$8,Fact_TrialBalance[Category],"Operating Revenue",Fact_TrialBalance[FiscalYear],$H$6))</f>
        <v/>
      </c>
      <c r="C11" s="56" t="n"/>
      <c r="D11" s="57">
        <f>-(SUMIFS(Fact_TrialBalance[Amount],Fact_TrialBalance[EntityId],$C$8,Fact_TrialBalance[FiscalYear],$H$6)-SUMPRODUCT((Fact_TrialBalance[EntityId]=$C$8)*(Fact_TrialBalance[FiscalYear]=$H$6)*(ISNUMBER(MATCH(Fact_TrialBalance[Category],{"Interest &amp; Financing","Amortization","Income Tax"},0)))*Fact_TrialBalance[Amount]))</f>
        <v/>
      </c>
      <c r="E11" s="56" t="n"/>
      <c r="F11" s="1" t="n"/>
      <c r="G11" s="57">
        <f>-(SUMIFS(Fact_TrialBalance[Amount],Fact_TrialBalance[EntityId],$C$8,Fact_TrialBalance[FiscalYear],$H$6))</f>
        <v/>
      </c>
      <c r="H11" s="56" t="n"/>
      <c r="I11" s="57">
        <f>SUMIFS(Fact_TrialBalance[Amount],Fact_TrialBalance[EntityId],$C$8,Fact_TrialBalance[Category],"Income Tax",Fact_TrialBalance[FiscalYear],$H$6)</f>
        <v/>
      </c>
      <c r="J11" s="56" t="n"/>
      <c r="K11" s="1" t="n"/>
      <c r="L11" s="1" t="n"/>
    </row>
    <row r="12">
      <c r="A12" s="1" t="n"/>
      <c r="B12" s="56" t="n"/>
      <c r="C12" s="56" t="n"/>
      <c r="D12" s="56" t="n"/>
      <c r="E12" s="56" t="n"/>
      <c r="F12" s="1" t="n"/>
      <c r="G12" s="56" t="n"/>
      <c r="H12" s="56" t="n"/>
      <c r="I12" s="56" t="n"/>
      <c r="J12" s="56" t="n"/>
      <c r="K12" s="1" t="n"/>
      <c r="L12" s="1" t="n"/>
    </row>
    <row r="13">
      <c r="A13" s="1" t="n"/>
      <c r="B13" s="1" t="n"/>
      <c r="C13" s="1" t="n"/>
      <c r="D13" s="1" t="n"/>
      <c r="E13" s="1" t="n"/>
      <c r="F13" s="1" t="n"/>
      <c r="G13" s="1" t="n"/>
      <c r="H13" s="1" t="n"/>
      <c r="I13" s="1" t="n"/>
      <c r="J13" s="1" t="n"/>
      <c r="K13" s="1" t="n"/>
      <c r="L13" s="1" t="n"/>
    </row>
    <row r="14">
      <c r="A14" s="1" t="n"/>
      <c r="B14" s="58" t="inlineStr">
        <is>
          <t>EBITDA MARGIN</t>
        </is>
      </c>
      <c r="C14" s="56" t="n"/>
      <c r="D14" s="58" t="inlineStr">
        <is>
          <t>EFFECTIVE TAX RATE</t>
        </is>
      </c>
      <c r="E14" s="56" t="n"/>
      <c r="F14" s="1" t="n"/>
      <c r="G14" s="58" t="inlineStr">
        <is>
          <t>% OF GROUP REVENUE</t>
        </is>
      </c>
      <c r="H14" s="56" t="n"/>
      <c r="I14" s="58" t="inlineStr">
        <is>
          <t>COGS</t>
        </is>
      </c>
      <c r="J14" s="56" t="n"/>
      <c r="K14" s="1" t="n"/>
      <c r="L14" s="1" t="n"/>
    </row>
    <row r="15">
      <c r="A15" s="1" t="n"/>
      <c r="B15" s="59">
        <f>IFERROR(D11/B11,0)</f>
        <v/>
      </c>
      <c r="C15" s="56" t="n"/>
      <c r="D15" s="59">
        <f>IFERROR(I11/(G11+I11),0)</f>
        <v/>
      </c>
      <c r="E15" s="56" t="n"/>
      <c r="F15" s="1" t="n"/>
      <c r="G15" s="59">
        <f>IFERROR(B11/(-SUMIFS(Fact_TrialBalance[Amount],Fact_TrialBalance[Category],"Operating Revenue",Fact_TrialBalance[FiscalYear],$H$6)),0)</f>
        <v/>
      </c>
      <c r="H15" s="56" t="n"/>
      <c r="I15" s="57">
        <f>SUMIFS(Fact_TrialBalance[Amount],Fact_TrialBalance[EntityId],$C$8,Fact_TrialBalance[Category],"COGS",Fact_TrialBalance[FiscalYear],$H$6)</f>
        <v/>
      </c>
      <c r="J15" s="56" t="n"/>
      <c r="K15" s="1" t="n"/>
      <c r="L15" s="1" t="n"/>
    </row>
    <row r="16">
      <c r="A16" s="1" t="n"/>
      <c r="B16" s="56" t="n"/>
      <c r="C16" s="56" t="n"/>
      <c r="D16" s="56" t="n"/>
      <c r="E16" s="56" t="n"/>
      <c r="F16" s="1" t="n"/>
      <c r="G16" s="56" t="n"/>
      <c r="H16" s="56" t="n"/>
      <c r="I16" s="56" t="n"/>
      <c r="J16" s="56" t="n"/>
      <c r="K16" s="1" t="n"/>
      <c r="L16" s="1" t="n"/>
    </row>
    <row r="17">
      <c r="A17" s="1" t="n"/>
      <c r="B17" s="1" t="n"/>
      <c r="C17" s="1" t="n"/>
      <c r="D17" s="1" t="n"/>
      <c r="E17" s="1" t="n"/>
      <c r="F17" s="1" t="n"/>
      <c r="G17" s="1" t="n"/>
      <c r="H17" s="1" t="n"/>
      <c r="I17" s="1" t="n"/>
      <c r="J17" s="1" t="n"/>
      <c r="K17" s="1" t="n"/>
      <c r="L17" s="1" t="n"/>
    </row>
    <row r="18">
      <c r="A18" s="1" t="n"/>
      <c r="B18" s="1" t="n"/>
      <c r="C18" s="1" t="n"/>
      <c r="D18" s="1" t="n"/>
      <c r="E18" s="1" t="n"/>
      <c r="F18" s="1" t="n"/>
      <c r="G18" s="1" t="n"/>
      <c r="H18" s="1" t="n"/>
      <c r="I18" s="1" t="n"/>
      <c r="J18" s="1" t="n"/>
      <c r="K18" s="1" t="n"/>
      <c r="L18" s="1" t="n"/>
    </row>
    <row r="19">
      <c r="A19" s="1" t="n"/>
      <c r="B19" s="60" t="inlineStr">
        <is>
          <t>Category Breakdown</t>
        </is>
      </c>
      <c r="C19" s="50" t="n"/>
      <c r="D19" s="50" t="n"/>
      <c r="E19" s="50" t="n"/>
      <c r="F19" s="1" t="n"/>
      <c r="G19" s="1" t="n"/>
      <c r="H19" s="1" t="n"/>
      <c r="I19" s="1" t="n"/>
      <c r="J19" s="1" t="n"/>
      <c r="K19" s="1" t="n"/>
      <c r="L19" s="1" t="n"/>
    </row>
    <row r="20">
      <c r="A20" s="1" t="n"/>
      <c r="B20" s="45" t="inlineStr">
        <is>
          <t>Category</t>
        </is>
      </c>
      <c r="C20" s="45" t="inlineStr">
        <is>
          <t>Amount</t>
        </is>
      </c>
      <c r="D20" s="1" t="n"/>
      <c r="E20" s="1" t="n"/>
      <c r="F20" s="1" t="n"/>
      <c r="G20" s="1" t="n"/>
      <c r="H20" s="1" t="n"/>
      <c r="I20" s="1" t="n"/>
      <c r="J20" s="1" t="n"/>
      <c r="K20" s="1" t="n"/>
      <c r="L20" s="1" t="n"/>
    </row>
    <row r="21">
      <c r="A21" s="1" t="n"/>
      <c r="B21" s="1" t="inlineStr">
        <is>
          <t>Operating Revenue</t>
        </is>
      </c>
      <c r="C21" s="44">
        <f>-(SUMIFS(Fact_TrialBalance[Amount],Fact_TrialBalance[EntityId],$C$8,Fact_TrialBalance[Category],"Operating Revenue",Fact_TrialBalance[FiscalYear],$H$6))</f>
        <v/>
      </c>
      <c r="D21" s="1" t="n"/>
      <c r="E21" s="1" t="n"/>
      <c r="F21" s="1" t="n"/>
      <c r="G21" s="1" t="n"/>
      <c r="H21" s="1" t="n"/>
      <c r="I21" s="1" t="n"/>
      <c r="J21" s="1" t="n"/>
      <c r="K21" s="1" t="n"/>
      <c r="L21" s="1" t="n"/>
    </row>
    <row r="22">
      <c r="A22" s="1" t="n"/>
      <c r="B22" s="1" t="inlineStr">
        <is>
          <t>Investment &amp; Other Income</t>
        </is>
      </c>
      <c r="C22" s="44">
        <f>-(SUMIFS(Fact_TrialBalance[Amount],Fact_TrialBalance[EntityId],$C$8,Fact_TrialBalance[Category],"Investment &amp; Other Income",Fact_TrialBalance[FiscalYear],$H$6))</f>
        <v/>
      </c>
      <c r="D22" s="1" t="n"/>
      <c r="E22" s="1" t="n"/>
      <c r="F22" s="1" t="n"/>
      <c r="G22" s="1" t="n"/>
      <c r="H22" s="1" t="n"/>
      <c r="I22" s="1" t="n"/>
      <c r="J22" s="1" t="n"/>
      <c r="K22" s="1" t="n"/>
      <c r="L22" s="1" t="n"/>
    </row>
    <row r="23">
      <c r="A23" s="1" t="n"/>
      <c r="B23" s="1" t="inlineStr">
        <is>
          <t>COGS</t>
        </is>
      </c>
      <c r="C23" s="44">
        <f>SUMIFS(Fact_TrialBalance[Amount],Fact_TrialBalance[EntityId],$C$8,Fact_TrialBalance[Category],"COGS",Fact_TrialBalance[FiscalYear],$H$6)</f>
        <v/>
      </c>
      <c r="D23" s="1" t="n"/>
      <c r="E23" s="1" t="n"/>
      <c r="F23" s="1" t="n"/>
      <c r="G23" s="1" t="n"/>
      <c r="H23" s="1" t="n"/>
      <c r="I23" s="1" t="n"/>
      <c r="J23" s="1" t="n"/>
      <c r="K23" s="1" t="n"/>
      <c r="L23" s="1" t="n"/>
    </row>
    <row r="24">
      <c r="A24" s="1" t="n"/>
      <c r="B24" s="1" t="inlineStr">
        <is>
          <t>Payroll &amp; Benefits</t>
        </is>
      </c>
      <c r="C24" s="44">
        <f>SUMIFS(Fact_TrialBalance[Amount],Fact_TrialBalance[EntityId],$C$8,Fact_TrialBalance[Category],"Payroll &amp; Benefits",Fact_TrialBalance[FiscalYear],$H$6)</f>
        <v/>
      </c>
      <c r="D24" s="1" t="n"/>
      <c r="E24" s="1" t="n"/>
      <c r="F24" s="1" t="n"/>
      <c r="G24" s="1" t="n"/>
      <c r="H24" s="1" t="n"/>
      <c r="I24" s="1" t="n"/>
      <c r="J24" s="1" t="n"/>
      <c r="K24" s="1" t="n"/>
      <c r="L24" s="1" t="n"/>
    </row>
    <row r="25">
      <c r="A25" s="1" t="n"/>
      <c r="B25" s="1" t="inlineStr">
        <is>
          <t>Occupancy</t>
        </is>
      </c>
      <c r="C25" s="44">
        <f>SUMIFS(Fact_TrialBalance[Amount],Fact_TrialBalance[EntityId],$C$8,Fact_TrialBalance[Category],"Occupancy",Fact_TrialBalance[FiscalYear],$H$6)</f>
        <v/>
      </c>
      <c r="D25" s="1" t="n"/>
      <c r="E25" s="1" t="n"/>
      <c r="F25" s="1" t="n"/>
      <c r="G25" s="1" t="n"/>
      <c r="H25" s="1" t="n"/>
      <c r="I25" s="1" t="n"/>
      <c r="J25" s="1" t="n"/>
      <c r="K25" s="1" t="n"/>
      <c r="L25" s="1" t="n"/>
    </row>
    <row r="26">
      <c r="A26" s="1" t="n"/>
      <c r="B26" s="1" t="inlineStr">
        <is>
          <t>Marketing &amp; Entertainment</t>
        </is>
      </c>
      <c r="C26" s="44">
        <f>SUMIFS(Fact_TrialBalance[Amount],Fact_TrialBalance[EntityId],$C$8,Fact_TrialBalance[Category],"Marketing &amp; Entertainment",Fact_TrialBalance[FiscalYear],$H$6)</f>
        <v/>
      </c>
      <c r="D26" s="1" t="n"/>
      <c r="E26" s="1" t="n"/>
      <c r="F26" s="1" t="n"/>
      <c r="G26" s="1" t="n"/>
      <c r="H26" s="1" t="n"/>
      <c r="I26" s="1" t="n"/>
      <c r="J26" s="1" t="n"/>
      <c r="K26" s="1" t="n"/>
      <c r="L26" s="1" t="n"/>
    </row>
    <row r="27">
      <c r="A27" s="1" t="n"/>
      <c r="B27" s="1" t="inlineStr">
        <is>
          <t>Administrative</t>
        </is>
      </c>
      <c r="C27" s="44">
        <f>SUMIFS(Fact_TrialBalance[Amount],Fact_TrialBalance[EntityId],$C$8,Fact_TrialBalance[Category],"Administrative",Fact_TrialBalance[FiscalYear],$H$6)</f>
        <v/>
      </c>
      <c r="D27" s="1" t="n"/>
      <c r="E27" s="1" t="n"/>
      <c r="F27" s="1" t="n"/>
      <c r="G27" s="1" t="n"/>
      <c r="H27" s="1" t="n"/>
      <c r="I27" s="1" t="n"/>
      <c r="J27" s="1" t="n"/>
      <c r="K27" s="1" t="n"/>
      <c r="L27" s="1" t="n"/>
    </row>
    <row r="28">
      <c r="A28" s="1" t="n"/>
      <c r="B28" s="1" t="inlineStr">
        <is>
          <t>Management Fees (Interco)</t>
        </is>
      </c>
      <c r="C28" s="44">
        <f>SUMIFS(Fact_TrialBalance[Amount],Fact_TrialBalance[EntityId],$C$8,Fact_TrialBalance[Category],"Management Fees (Interco)",Fact_TrialBalance[FiscalYear],$H$6)</f>
        <v/>
      </c>
      <c r="D28" s="1" t="n"/>
      <c r="E28" s="1" t="n"/>
      <c r="F28" s="1" t="n"/>
      <c r="G28" s="1" t="n"/>
      <c r="H28" s="1" t="n"/>
      <c r="I28" s="1" t="n"/>
      <c r="J28" s="1" t="n"/>
      <c r="K28" s="1" t="n"/>
      <c r="L28" s="1" t="n"/>
    </row>
    <row r="29">
      <c r="A29" s="1" t="n"/>
      <c r="B29" s="1" t="inlineStr">
        <is>
          <t>Interest &amp; Financing</t>
        </is>
      </c>
      <c r="C29" s="44">
        <f>SUMIFS(Fact_TrialBalance[Amount],Fact_TrialBalance[EntityId],$C$8,Fact_TrialBalance[Category],"Interest &amp; Financing",Fact_TrialBalance[FiscalYear],$H$6)</f>
        <v/>
      </c>
      <c r="D29" s="1" t="n"/>
      <c r="E29" s="1" t="n"/>
      <c r="F29" s="1" t="n"/>
      <c r="G29" s="1" t="n"/>
      <c r="H29" s="1" t="n"/>
      <c r="I29" s="1" t="n"/>
      <c r="J29" s="1" t="n"/>
      <c r="K29" s="1" t="n"/>
      <c r="L29" s="1" t="n"/>
    </row>
    <row r="30">
      <c r="A30" s="1" t="n"/>
      <c r="B30" s="1" t="inlineStr">
        <is>
          <t>Repairs &amp; Maintenance</t>
        </is>
      </c>
      <c r="C30" s="44">
        <f>SUMIFS(Fact_TrialBalance[Amount],Fact_TrialBalance[EntityId],$C$8,Fact_TrialBalance[Category],"Repairs &amp; Maintenance",Fact_TrialBalance[FiscalYear],$H$6)</f>
        <v/>
      </c>
      <c r="D30" s="1" t="n"/>
      <c r="E30" s="1" t="n"/>
      <c r="F30" s="1" t="n"/>
      <c r="G30" s="1" t="n"/>
      <c r="H30" s="1" t="n"/>
      <c r="I30" s="1" t="n"/>
      <c r="J30" s="1" t="n"/>
      <c r="K30" s="1" t="n"/>
      <c r="L30" s="1" t="n"/>
    </row>
    <row r="31">
      <c r="A31" s="1" t="n"/>
      <c r="B31" s="1" t="inlineStr">
        <is>
          <t>Amortization</t>
        </is>
      </c>
      <c r="C31" s="44">
        <f>SUMIFS(Fact_TrialBalance[Amount],Fact_TrialBalance[EntityId],$C$8,Fact_TrialBalance[Category],"Amortization",Fact_TrialBalance[FiscalYear],$H$6)</f>
        <v/>
      </c>
      <c r="D31" s="1" t="n"/>
      <c r="E31" s="1" t="n"/>
      <c r="F31" s="1" t="n"/>
      <c r="G31" s="1" t="n"/>
      <c r="H31" s="1" t="n"/>
      <c r="I31" s="1" t="n"/>
      <c r="J31" s="1" t="n"/>
      <c r="K31" s="1" t="n"/>
      <c r="L31" s="1" t="n"/>
    </row>
    <row r="32">
      <c r="A32" s="1" t="n"/>
      <c r="B32" s="1" t="inlineStr">
        <is>
          <t>Other Operating</t>
        </is>
      </c>
      <c r="C32" s="44">
        <f>SUMIFS(Fact_TrialBalance[Amount],Fact_TrialBalance[EntityId],$C$8,Fact_TrialBalance[Category],"Other Operating",Fact_TrialBalance[FiscalYear],$H$6)</f>
        <v/>
      </c>
      <c r="D32" s="1" t="n"/>
      <c r="E32" s="1" t="n"/>
      <c r="F32" s="1" t="n"/>
      <c r="G32" s="1" t="n"/>
      <c r="H32" s="1" t="n"/>
      <c r="I32" s="1" t="n"/>
      <c r="J32" s="1" t="n"/>
      <c r="K32" s="1" t="n"/>
      <c r="L32" s="1" t="n"/>
    </row>
    <row r="33">
      <c r="A33" s="1" t="n"/>
      <c r="B33" s="1" t="inlineStr">
        <is>
          <t>Income Tax</t>
        </is>
      </c>
      <c r="C33" s="44">
        <f>SUMIFS(Fact_TrialBalance[Amount],Fact_TrialBalance[EntityId],$C$8,Fact_TrialBalance[Category],"Income Tax",Fact_TrialBalance[FiscalYear],$H$6)</f>
        <v/>
      </c>
      <c r="D33" s="1" t="n"/>
      <c r="E33" s="1" t="n"/>
      <c r="F33" s="1" t="n"/>
      <c r="G33" s="1" t="n"/>
      <c r="H33" s="1" t="n"/>
      <c r="I33" s="1" t="n"/>
      <c r="J33" s="1" t="n"/>
      <c r="K33" s="1" t="n"/>
      <c r="L33" s="1" t="n"/>
    </row>
    <row r="34">
      <c r="A34" s="1" t="n"/>
      <c r="B34" s="1" t="n"/>
      <c r="C34" s="1" t="n"/>
      <c r="D34" s="1" t="n"/>
      <c r="E34" s="1" t="n"/>
      <c r="F34" s="1" t="n"/>
      <c r="G34" s="1" t="n"/>
      <c r="H34" s="1" t="n"/>
      <c r="I34" s="1" t="n"/>
      <c r="J34" s="1" t="n"/>
      <c r="K34" s="1" t="n"/>
      <c r="L34" s="1" t="n"/>
    </row>
    <row r="35">
      <c r="A35" s="1" t="n"/>
      <c r="B35" s="1" t="n"/>
      <c r="C35" s="1" t="n"/>
      <c r="D35" s="1" t="n"/>
      <c r="E35" s="1" t="n"/>
      <c r="F35" s="1" t="n"/>
      <c r="G35" s="1" t="n"/>
      <c r="H35" s="1" t="n"/>
      <c r="I35" s="1" t="n"/>
      <c r="J35" s="1" t="n"/>
      <c r="K35" s="1" t="n"/>
      <c r="L35" s="1" t="n"/>
    </row>
    <row r="36">
      <c r="A36" s="1" t="n"/>
      <c r="B36" s="60" t="inlineStr">
        <is>
          <t>Key Ratios — Common-Size P&amp;L (% of Revenue), Selected Entity vs Group, Same Year</t>
        </is>
      </c>
      <c r="C36" s="50" t="n"/>
      <c r="D36" s="50" t="n"/>
      <c r="E36" s="50" t="n"/>
      <c r="F36" s="50" t="n"/>
      <c r="G36" s="50" t="n"/>
      <c r="H36" s="50" t="n"/>
      <c r="I36" s="50" t="n"/>
      <c r="J36" s="50" t="n"/>
      <c r="K36" s="1" t="n"/>
      <c r="L36" s="1" t="n"/>
    </row>
    <row r="37">
      <c r="A37" s="1" t="n"/>
      <c r="B37" s="61" t="inlineStr">
        <is>
          <t>Category</t>
        </is>
      </c>
      <c r="C37" s="61" t="inlineStr">
        <is>
          <t>This Entity</t>
        </is>
      </c>
      <c r="D37" s="61" t="inlineStr">
        <is>
          <t>Group Avg</t>
        </is>
      </c>
      <c r="E37" s="61" t="inlineStr">
        <is>
          <t>vs Group (pp)</t>
        </is>
      </c>
      <c r="F37" s="1" t="n"/>
      <c r="G37" s="1" t="n"/>
      <c r="H37" s="1" t="n"/>
      <c r="I37" s="1" t="n"/>
      <c r="J37" s="1" t="n"/>
      <c r="K37" s="1" t="n"/>
      <c r="L37" s="1" t="n"/>
    </row>
    <row r="38">
      <c r="A38" s="1" t="n"/>
      <c r="B38" s="62" t="inlineStr">
        <is>
          <t>COGS</t>
        </is>
      </c>
      <c r="C38" s="63">
        <f>IFERROR((SUMIFS(Fact_TrialBalance[Amount],Fact_TrialBalance[EntityId],$C$8,Fact_TrialBalance[Category],"COGS",Fact_TrialBalance[FiscalYear],$H$6))/(-(SUMIFS(Fact_TrialBalance[Amount],Fact_TrialBalance[EntityId],$C$8,Fact_TrialBalance[Category],"Operating Revenue",Fact_TrialBalance[FiscalYear],$H$6))),0)</f>
        <v/>
      </c>
      <c r="D38" s="63">
        <f>IFERROR((SUMIFS(Fact_TrialBalance[Amount],Fact_TrialBalance[Category],"COGS",Fact_TrialBalance[FiscalYear],$H$6))/(-(SUMIFS(Fact_TrialBalance[Amount],Fact_TrialBalance[Category],"Operating Revenue",Fact_TrialBalance[FiscalYear],$H$6))),0)</f>
        <v/>
      </c>
      <c r="E38" s="63">
        <f>C38-D38</f>
        <v/>
      </c>
      <c r="F38" s="1" t="n"/>
      <c r="G38" s="1" t="n"/>
      <c r="H38" s="1" t="n"/>
      <c r="I38" s="1" t="n"/>
      <c r="J38" s="1" t="n"/>
      <c r="K38" s="1" t="n"/>
      <c r="L38" s="1" t="n"/>
    </row>
    <row r="39">
      <c r="A39" s="1" t="n"/>
      <c r="B39" s="62" t="inlineStr">
        <is>
          <t>Payroll &amp; Benefits</t>
        </is>
      </c>
      <c r="C39" s="63">
        <f>IFERROR((SUMIFS(Fact_TrialBalance[Amount],Fact_TrialBalance[EntityId],$C$8,Fact_TrialBalance[Category],"Payroll &amp; Benefits",Fact_TrialBalance[FiscalYear],$H$6))/(-(SUMIFS(Fact_TrialBalance[Amount],Fact_TrialBalance[EntityId],$C$8,Fact_TrialBalance[Category],"Operating Revenue",Fact_TrialBalance[FiscalYear],$H$6))),0)</f>
        <v/>
      </c>
      <c r="D39" s="63">
        <f>IFERROR((SUMIFS(Fact_TrialBalance[Amount],Fact_TrialBalance[Category],"Payroll &amp; Benefits",Fact_TrialBalance[FiscalYear],$H$6))/(-(SUMIFS(Fact_TrialBalance[Amount],Fact_TrialBalance[Category],"Operating Revenue",Fact_TrialBalance[FiscalYear],$H$6))),0)</f>
        <v/>
      </c>
      <c r="E39" s="63">
        <f>C39-D39</f>
        <v/>
      </c>
      <c r="F39" s="1" t="n"/>
      <c r="G39" s="1" t="n"/>
      <c r="H39" s="1" t="n"/>
      <c r="I39" s="1" t="n"/>
      <c r="J39" s="1" t="n"/>
      <c r="K39" s="1" t="n"/>
      <c r="L39" s="1" t="n"/>
    </row>
    <row r="40">
      <c r="A40" s="1" t="n"/>
      <c r="B40" s="62" t="inlineStr">
        <is>
          <t>Occupancy</t>
        </is>
      </c>
      <c r="C40" s="63">
        <f>IFERROR((SUMIFS(Fact_TrialBalance[Amount],Fact_TrialBalance[EntityId],$C$8,Fact_TrialBalance[Category],"Occupancy",Fact_TrialBalance[FiscalYear],$H$6))/(-(SUMIFS(Fact_TrialBalance[Amount],Fact_TrialBalance[EntityId],$C$8,Fact_TrialBalance[Category],"Operating Revenue",Fact_TrialBalance[FiscalYear],$H$6))),0)</f>
        <v/>
      </c>
      <c r="D40" s="63">
        <f>IFERROR((SUMIFS(Fact_TrialBalance[Amount],Fact_TrialBalance[Category],"Occupancy",Fact_TrialBalance[FiscalYear],$H$6))/(-(SUMIFS(Fact_TrialBalance[Amount],Fact_TrialBalance[Category],"Operating Revenue",Fact_TrialBalance[FiscalYear],$H$6))),0)</f>
        <v/>
      </c>
      <c r="E40" s="63">
        <f>C40-D40</f>
        <v/>
      </c>
      <c r="F40" s="1" t="n"/>
      <c r="G40" s="1" t="n"/>
      <c r="H40" s="1" t="n"/>
      <c r="I40" s="1" t="n"/>
      <c r="J40" s="1" t="n"/>
      <c r="K40" s="1" t="n"/>
      <c r="L40" s="1" t="n"/>
    </row>
    <row r="41">
      <c r="A41" s="1" t="n"/>
      <c r="B41" s="62" t="inlineStr">
        <is>
          <t>Marketing &amp; Entertainment</t>
        </is>
      </c>
      <c r="C41" s="63">
        <f>IFERROR((SUMIFS(Fact_TrialBalance[Amount],Fact_TrialBalance[EntityId],$C$8,Fact_TrialBalance[Category],"Marketing &amp; Entertainment",Fact_TrialBalance[FiscalYear],$H$6))/(-(SUMIFS(Fact_TrialBalance[Amount],Fact_TrialBalance[EntityId],$C$8,Fact_TrialBalance[Category],"Operating Revenue",Fact_TrialBalance[FiscalYear],$H$6))),0)</f>
        <v/>
      </c>
      <c r="D41" s="63">
        <f>IFERROR((SUMIFS(Fact_TrialBalance[Amount],Fact_TrialBalance[Category],"Marketing &amp; Entertainment",Fact_TrialBalance[FiscalYear],$H$6))/(-(SUMIFS(Fact_TrialBalance[Amount],Fact_TrialBalance[Category],"Operating Revenue",Fact_TrialBalance[FiscalYear],$H$6))),0)</f>
        <v/>
      </c>
      <c r="E41" s="63">
        <f>C41-D41</f>
        <v/>
      </c>
      <c r="F41" s="1" t="n"/>
      <c r="G41" s="1" t="n"/>
      <c r="H41" s="1" t="n"/>
      <c r="I41" s="1" t="n"/>
      <c r="J41" s="1" t="n"/>
      <c r="K41" s="1" t="n"/>
      <c r="L41" s="1" t="n"/>
    </row>
    <row r="42">
      <c r="A42" s="1" t="n"/>
      <c r="B42" s="62" t="inlineStr">
        <is>
          <t>Administrative</t>
        </is>
      </c>
      <c r="C42" s="63">
        <f>IFERROR((SUMIFS(Fact_TrialBalance[Amount],Fact_TrialBalance[EntityId],$C$8,Fact_TrialBalance[Category],"Administrative",Fact_TrialBalance[FiscalYear],$H$6))/(-(SUMIFS(Fact_TrialBalance[Amount],Fact_TrialBalance[EntityId],$C$8,Fact_TrialBalance[Category],"Operating Revenue",Fact_TrialBalance[FiscalYear],$H$6))),0)</f>
        <v/>
      </c>
      <c r="D42" s="63">
        <f>IFERROR((SUMIFS(Fact_TrialBalance[Amount],Fact_TrialBalance[Category],"Administrative",Fact_TrialBalance[FiscalYear],$H$6))/(-(SUMIFS(Fact_TrialBalance[Amount],Fact_TrialBalance[Category],"Operating Revenue",Fact_TrialBalance[FiscalYear],$H$6))),0)</f>
        <v/>
      </c>
      <c r="E42" s="63">
        <f>C42-D42</f>
        <v/>
      </c>
      <c r="F42" s="1" t="n"/>
      <c r="G42" s="1" t="n"/>
      <c r="H42" s="1" t="n"/>
      <c r="I42" s="1" t="n"/>
      <c r="J42" s="1" t="n"/>
      <c r="K42" s="1" t="n"/>
      <c r="L42" s="1" t="n"/>
    </row>
    <row r="43">
      <c r="A43" s="1" t="n"/>
      <c r="B43" s="62" t="inlineStr">
        <is>
          <t>Management Fees (Interco)</t>
        </is>
      </c>
      <c r="C43" s="63">
        <f>IFERROR((SUMIFS(Fact_TrialBalance[Amount],Fact_TrialBalance[EntityId],$C$8,Fact_TrialBalance[Category],"Management Fees (Interco)",Fact_TrialBalance[FiscalYear],$H$6))/(-(SUMIFS(Fact_TrialBalance[Amount],Fact_TrialBalance[EntityId],$C$8,Fact_TrialBalance[Category],"Operating Revenue",Fact_TrialBalance[FiscalYear],$H$6))),0)</f>
        <v/>
      </c>
      <c r="D43" s="63">
        <f>IFERROR((SUMIFS(Fact_TrialBalance[Amount],Fact_TrialBalance[Category],"Management Fees (Interco)",Fact_TrialBalance[FiscalYear],$H$6))/(-(SUMIFS(Fact_TrialBalance[Amount],Fact_TrialBalance[Category],"Operating Revenue",Fact_TrialBalance[FiscalYear],$H$6))),0)</f>
        <v/>
      </c>
      <c r="E43" s="63">
        <f>C43-D43</f>
        <v/>
      </c>
      <c r="F43" s="1" t="n"/>
      <c r="G43" s="1" t="n"/>
      <c r="H43" s="1" t="n"/>
      <c r="I43" s="1" t="n"/>
      <c r="J43" s="1" t="n"/>
      <c r="K43" s="1" t="n"/>
      <c r="L43" s="1" t="n"/>
    </row>
    <row r="44">
      <c r="A44" s="1" t="n"/>
      <c r="B44" s="62" t="inlineStr">
        <is>
          <t>Interest &amp; Financing</t>
        </is>
      </c>
      <c r="C44" s="63">
        <f>IFERROR((SUMIFS(Fact_TrialBalance[Amount],Fact_TrialBalance[EntityId],$C$8,Fact_TrialBalance[Category],"Interest &amp; Financing",Fact_TrialBalance[FiscalYear],$H$6))/(-(SUMIFS(Fact_TrialBalance[Amount],Fact_TrialBalance[EntityId],$C$8,Fact_TrialBalance[Category],"Operating Revenue",Fact_TrialBalance[FiscalYear],$H$6))),0)</f>
        <v/>
      </c>
      <c r="D44" s="63">
        <f>IFERROR((SUMIFS(Fact_TrialBalance[Amount],Fact_TrialBalance[Category],"Interest &amp; Financing",Fact_TrialBalance[FiscalYear],$H$6))/(-(SUMIFS(Fact_TrialBalance[Amount],Fact_TrialBalance[Category],"Operating Revenue",Fact_TrialBalance[FiscalYear],$H$6))),0)</f>
        <v/>
      </c>
      <c r="E44" s="63">
        <f>C44-D44</f>
        <v/>
      </c>
      <c r="F44" s="1" t="n"/>
      <c r="G44" s="1" t="n"/>
      <c r="H44" s="1" t="n"/>
      <c r="I44" s="1" t="n"/>
      <c r="J44" s="1" t="n"/>
      <c r="K44" s="1" t="n"/>
      <c r="L44" s="1" t="n"/>
    </row>
    <row r="45">
      <c r="A45" s="1" t="n"/>
      <c r="B45" s="62" t="inlineStr">
        <is>
          <t>Repairs &amp; Maintenance</t>
        </is>
      </c>
      <c r="C45" s="63">
        <f>IFERROR((SUMIFS(Fact_TrialBalance[Amount],Fact_TrialBalance[EntityId],$C$8,Fact_TrialBalance[Category],"Repairs &amp; Maintenance",Fact_TrialBalance[FiscalYear],$H$6))/(-(SUMIFS(Fact_TrialBalance[Amount],Fact_TrialBalance[EntityId],$C$8,Fact_TrialBalance[Category],"Operating Revenue",Fact_TrialBalance[FiscalYear],$H$6))),0)</f>
        <v/>
      </c>
      <c r="D45" s="63">
        <f>IFERROR((SUMIFS(Fact_TrialBalance[Amount],Fact_TrialBalance[Category],"Repairs &amp; Maintenance",Fact_TrialBalance[FiscalYear],$H$6))/(-(SUMIFS(Fact_TrialBalance[Amount],Fact_TrialBalance[Category],"Operating Revenue",Fact_TrialBalance[FiscalYear],$H$6))),0)</f>
        <v/>
      </c>
      <c r="E45" s="63">
        <f>C45-D45</f>
        <v/>
      </c>
      <c r="F45" s="1" t="n"/>
      <c r="G45" s="1" t="n"/>
      <c r="H45" s="1" t="n"/>
      <c r="I45" s="1" t="n"/>
      <c r="J45" s="1" t="n"/>
      <c r="K45" s="1" t="n"/>
      <c r="L45" s="1" t="n"/>
    </row>
    <row r="46">
      <c r="A46" s="1" t="n"/>
      <c r="B46" s="62" t="inlineStr">
        <is>
          <t>Amortization</t>
        </is>
      </c>
      <c r="C46" s="63">
        <f>IFERROR((SUMIFS(Fact_TrialBalance[Amount],Fact_TrialBalance[EntityId],$C$8,Fact_TrialBalance[Category],"Amortization",Fact_TrialBalance[FiscalYear],$H$6))/(-(SUMIFS(Fact_TrialBalance[Amount],Fact_TrialBalance[EntityId],$C$8,Fact_TrialBalance[Category],"Operating Revenue",Fact_TrialBalance[FiscalYear],$H$6))),0)</f>
        <v/>
      </c>
      <c r="D46" s="63">
        <f>IFERROR((SUMIFS(Fact_TrialBalance[Amount],Fact_TrialBalance[Category],"Amortization",Fact_TrialBalance[FiscalYear],$H$6))/(-(SUMIFS(Fact_TrialBalance[Amount],Fact_TrialBalance[Category],"Operating Revenue",Fact_TrialBalance[FiscalYear],$H$6))),0)</f>
        <v/>
      </c>
      <c r="E46" s="63">
        <f>C46-D46</f>
        <v/>
      </c>
      <c r="F46" s="1" t="n"/>
      <c r="G46" s="1" t="n"/>
      <c r="H46" s="1" t="n"/>
      <c r="I46" s="1" t="n"/>
      <c r="J46" s="1" t="n"/>
      <c r="K46" s="1" t="n"/>
      <c r="L46" s="1" t="n"/>
    </row>
    <row r="47">
      <c r="A47" s="1" t="n"/>
      <c r="B47" s="62" t="inlineStr">
        <is>
          <t>Other Operating</t>
        </is>
      </c>
      <c r="C47" s="63">
        <f>IFERROR((SUMIFS(Fact_TrialBalance[Amount],Fact_TrialBalance[EntityId],$C$8,Fact_TrialBalance[Category],"Other Operating",Fact_TrialBalance[FiscalYear],$H$6))/(-(SUMIFS(Fact_TrialBalance[Amount],Fact_TrialBalance[EntityId],$C$8,Fact_TrialBalance[Category],"Operating Revenue",Fact_TrialBalance[FiscalYear],$H$6))),0)</f>
        <v/>
      </c>
      <c r="D47" s="63">
        <f>IFERROR((SUMIFS(Fact_TrialBalance[Amount],Fact_TrialBalance[Category],"Other Operating",Fact_TrialBalance[FiscalYear],$H$6))/(-(SUMIFS(Fact_TrialBalance[Amount],Fact_TrialBalance[Category],"Operating Revenue",Fact_TrialBalance[FiscalYear],$H$6))),0)</f>
        <v/>
      </c>
      <c r="E47" s="63">
        <f>C47-D47</f>
        <v/>
      </c>
      <c r="F47" s="1" t="n"/>
      <c r="G47" s="1" t="n"/>
      <c r="H47" s="1" t="n"/>
      <c r="I47" s="1" t="n"/>
      <c r="J47" s="1" t="n"/>
      <c r="K47" s="1" t="n"/>
      <c r="L47" s="1" t="n"/>
    </row>
    <row r="48">
      <c r="A48" s="1" t="n"/>
      <c r="B48" s="62" t="inlineStr">
        <is>
          <t>Income Tax</t>
        </is>
      </c>
      <c r="C48" s="63">
        <f>IFERROR((SUMIFS(Fact_TrialBalance[Amount],Fact_TrialBalance[EntityId],$C$8,Fact_TrialBalance[Category],"Income Tax",Fact_TrialBalance[FiscalYear],$H$6))/(-(SUMIFS(Fact_TrialBalance[Amount],Fact_TrialBalance[EntityId],$C$8,Fact_TrialBalance[Category],"Operating Revenue",Fact_TrialBalance[FiscalYear],$H$6))),0)</f>
        <v/>
      </c>
      <c r="D48" s="63">
        <f>IFERROR((SUMIFS(Fact_TrialBalance[Amount],Fact_TrialBalance[Category],"Income Tax",Fact_TrialBalance[FiscalYear],$H$6))/(-(SUMIFS(Fact_TrialBalance[Amount],Fact_TrialBalance[Category],"Operating Revenue",Fact_TrialBalance[FiscalYear],$H$6))),0)</f>
        <v/>
      </c>
      <c r="E48" s="63">
        <f>C48-D48</f>
        <v/>
      </c>
      <c r="F48" s="1" t="n"/>
      <c r="G48" s="1" t="n"/>
      <c r="H48" s="1" t="n"/>
      <c r="I48" s="1" t="n"/>
      <c r="J48" s="1" t="n"/>
      <c r="K48" s="1" t="n"/>
      <c r="L48" s="1" t="n"/>
    </row>
    <row r="49">
      <c r="A49" s="1" t="n"/>
      <c r="B49" s="62" t="n"/>
      <c r="C49" s="62" t="n"/>
      <c r="D49" s="62" t="n"/>
      <c r="E49" s="62" t="n"/>
      <c r="F49" s="1" t="n"/>
      <c r="G49" s="1" t="n"/>
      <c r="H49" s="1" t="n"/>
      <c r="I49" s="1" t="n"/>
      <c r="J49" s="1" t="n"/>
      <c r="K49" s="1" t="n"/>
      <c r="L49" s="1" t="n"/>
    </row>
    <row r="50">
      <c r="A50" s="1" t="n"/>
      <c r="B50" s="64" t="inlineStr">
        <is>
          <t>Gross Margin</t>
        </is>
      </c>
      <c r="C50" s="65">
        <f>IFERROR((-(SUMIFS(Fact_TrialBalance[Amount],Fact_TrialBalance[EntityId],$C$8,Fact_TrialBalance[Category],"Operating Revenue",Fact_TrialBalance[FiscalYear],$H$6))-(SUMIFS(Fact_TrialBalance[Amount],Fact_TrialBalance[EntityId],$C$8,Fact_TrialBalance[Category],"COGS",Fact_TrialBalance[FiscalYear],$H$6)))/(-(SUMIFS(Fact_TrialBalance[Amount],Fact_TrialBalance[EntityId],$C$8,Fact_TrialBalance[Category],"Operating Revenue",Fact_TrialBalance[FiscalYear],$H$6))),0)</f>
        <v/>
      </c>
      <c r="D50" s="63">
        <f>IFERROR((-(SUMIFS(Fact_TrialBalance[Amount],Fact_TrialBalance[Category],"Operating Revenue",Fact_TrialBalance[FiscalYear],$H$6))-(SUMIFS(Fact_TrialBalance[Amount],Fact_TrialBalance[Category],"COGS",Fact_TrialBalance[FiscalYear],$H$6)))/(-(SUMIFS(Fact_TrialBalance[Amount],Fact_TrialBalance[Category],"Operating Revenue",Fact_TrialBalance[FiscalYear],$H$6))),0)</f>
        <v/>
      </c>
      <c r="E50" s="63">
        <f>C50-D50</f>
        <v/>
      </c>
      <c r="F50" s="1" t="n"/>
      <c r="G50" s="1" t="n"/>
      <c r="H50" s="1" t="n"/>
      <c r="I50" s="1" t="n"/>
      <c r="J50" s="1" t="n"/>
      <c r="K50" s="1" t="n"/>
      <c r="L50" s="1" t="n"/>
    </row>
    <row r="51">
      <c r="A51" s="1" t="n"/>
      <c r="B51" s="64" t="inlineStr">
        <is>
          <t>EBITDA Margin</t>
        </is>
      </c>
      <c r="C51" s="65">
        <f>B15</f>
        <v/>
      </c>
      <c r="D51" s="62" t="n"/>
      <c r="E51" s="62" t="n"/>
      <c r="F51" s="1" t="n"/>
      <c r="G51" s="1" t="n"/>
      <c r="H51" s="1" t="n"/>
      <c r="I51" s="1" t="n"/>
      <c r="J51" s="1" t="n"/>
      <c r="K51" s="1" t="n"/>
      <c r="L51" s="1" t="n"/>
    </row>
    <row r="52">
      <c r="A52" s="1" t="n"/>
      <c r="B52" s="64" t="inlineStr">
        <is>
          <t>Net Margin</t>
        </is>
      </c>
      <c r="C52" s="65">
        <f>IFERROR(-(SUMIFS(Fact_TrialBalance[Amount],Fact_TrialBalance[EntityId],$C$8,Fact_TrialBalance[FiscalYear],$H$6))/(-(SUMIFS(Fact_TrialBalance[Amount],Fact_TrialBalance[EntityId],$C$8,Fact_TrialBalance[Category],"Operating Revenue",Fact_TrialBalance[FiscalYear],$H$6))),0)</f>
        <v/>
      </c>
      <c r="D52" s="62" t="n"/>
      <c r="E52" s="62" t="n"/>
      <c r="F52" s="1" t="n"/>
      <c r="G52" s="1" t="n"/>
      <c r="H52" s="1" t="n"/>
      <c r="I52" s="1" t="n"/>
      <c r="J52" s="1" t="n"/>
      <c r="K52" s="1" t="n"/>
      <c r="L52" s="1" t="n"/>
    </row>
    <row r="53">
      <c r="A53" s="1" t="n"/>
      <c r="B53" s="54" t="inlineStr">
        <is>
          <t>"Group Avg" = that category's total across all 16 entities ÷ group revenue, same fiscal year (a size-weighted benchmark, not an average of each entity's own ratio).</t>
        </is>
      </c>
      <c r="K53" s="1" t="n"/>
      <c r="L53" s="1" t="n"/>
    </row>
    <row r="54">
      <c r="A54" s="1" t="n"/>
      <c r="B54" s="1" t="n"/>
      <c r="C54" s="1" t="n"/>
      <c r="D54" s="1" t="n"/>
      <c r="E54" s="1" t="n"/>
      <c r="F54" s="1" t="n"/>
      <c r="G54" s="1" t="n"/>
      <c r="H54" s="1" t="n"/>
      <c r="I54" s="1" t="n"/>
      <c r="J54" s="1" t="n"/>
      <c r="K54" s="1" t="n"/>
      <c r="L54" s="1" t="n"/>
    </row>
    <row r="55">
      <c r="A55" s="1" t="n"/>
      <c r="B55" s="60" t="inlineStr">
        <is>
          <t>3-Year Trend — Selected Entity</t>
        </is>
      </c>
      <c r="C55" s="50" t="n"/>
      <c r="D55" s="50" t="n"/>
      <c r="E55" s="50" t="n"/>
      <c r="F55" s="50" t="n"/>
      <c r="G55" s="50" t="n"/>
      <c r="H55" s="50" t="n"/>
      <c r="I55" s="50" t="n"/>
      <c r="J55" s="50" t="n"/>
      <c r="K55" s="1" t="n"/>
      <c r="L55" s="1" t="n"/>
    </row>
    <row r="56">
      <c r="A56" s="1" t="n"/>
      <c r="B56" s="61" t="inlineStr">
        <is>
          <t>Fiscal Year</t>
        </is>
      </c>
      <c r="C56" s="61" t="inlineStr">
        <is>
          <t>Revenue</t>
        </is>
      </c>
      <c r="D56" s="61" t="inlineStr">
        <is>
          <t>COGS %</t>
        </is>
      </c>
      <c r="E56" s="61" t="inlineStr">
        <is>
          <t>Payroll %</t>
        </is>
      </c>
      <c r="F56" s="1" t="n"/>
      <c r="G56" s="61" t="inlineStr">
        <is>
          <t>Occupancy %</t>
        </is>
      </c>
      <c r="H56" s="61" t="inlineStr">
        <is>
          <t>EBITDA Margin</t>
        </is>
      </c>
      <c r="I56" s="61" t="inlineStr">
        <is>
          <t>Net Margin</t>
        </is>
      </c>
      <c r="J56" s="1" t="n"/>
      <c r="K56" s="1" t="n"/>
      <c r="L56" s="1" t="n"/>
    </row>
    <row r="57">
      <c r="A57" s="1" t="n"/>
      <c r="B57" s="62" t="inlineStr">
        <is>
          <t>FY2023</t>
        </is>
      </c>
      <c r="C57" s="66">
        <f>-(SUMIFS(Fact_TrialBalance[Amount],Fact_TrialBalance[EntityId],$C$8,Fact_TrialBalance[Category],"Operating Revenue",Fact_TrialBalance[FiscalYear],"FY2023"))</f>
        <v/>
      </c>
      <c r="D57" s="63">
        <f>IFERROR((SUMIFS(Fact_TrialBalance[Amount],Fact_TrialBalance[EntityId],$C$8,Fact_TrialBalance[Category],"COGS",Fact_TrialBalance[FiscalYear],"FY2023"))/(-(SUMIFS(Fact_TrialBalance[Amount],Fact_TrialBalance[EntityId],$C$8,Fact_TrialBalance[Category],"Operating Revenue",Fact_TrialBalance[FiscalYear],"FY2023"))),0)</f>
        <v/>
      </c>
      <c r="E57" s="63">
        <f>IFERROR((SUMIFS(Fact_TrialBalance[Amount],Fact_TrialBalance[EntityId],$C$8,Fact_TrialBalance[Category],"Payroll &amp; Benefits",Fact_TrialBalance[FiscalYear],"FY2023"))/(-(SUMIFS(Fact_TrialBalance[Amount],Fact_TrialBalance[EntityId],$C$8,Fact_TrialBalance[Category],"Operating Revenue",Fact_TrialBalance[FiscalYear],"FY2023"))),0)</f>
        <v/>
      </c>
      <c r="F57" s="1" t="n"/>
      <c r="G57" s="63">
        <f>IFERROR((SUMIFS(Fact_TrialBalance[Amount],Fact_TrialBalance[EntityId],$C$8,Fact_TrialBalance[Category],"Occupancy",Fact_TrialBalance[FiscalYear],"FY2023"))/(-(SUMIFS(Fact_TrialBalance[Amount],Fact_TrialBalance[EntityId],$C$8,Fact_TrialBalance[Category],"Operating Revenue",Fact_TrialBalance[FiscalYear],"FY2023"))),0)</f>
        <v/>
      </c>
      <c r="H57" s="63">
        <f>IFERROR((-(SUMIFS(Fact_TrialBalance[Amount],Fact_TrialBalance[EntityId],$C$8,Fact_TrialBalance[FiscalYear],"FY2023")-SUMPRODUCT((Fact_TrialBalance[EntityId]=$C$8)*(Fact_TrialBalance[FiscalYear]="FY2023")*(ISNUMBER(MATCH(Fact_TrialBalance[Category],{"Interest &amp; Financing","Amortization","Income Tax"},0)))*Fact_TrialBalance[Amount])))/(-(SUMIFS(Fact_TrialBalance[Amount],Fact_TrialBalance[EntityId],$C$8,Fact_TrialBalance[Category],"Operating Revenue",Fact_TrialBalance[FiscalYear],"FY2023"))),0)</f>
        <v/>
      </c>
      <c r="I57" s="63">
        <f>IFERROR((-(SUMIFS(Fact_TrialBalance[Amount],Fact_TrialBalance[EntityId],$C$8,Fact_TrialBalance[FiscalYear],"FY2023")))/(-(SUMIFS(Fact_TrialBalance[Amount],Fact_TrialBalance[EntityId],$C$8,Fact_TrialBalance[Category],"Operating Revenue",Fact_TrialBalance[FiscalYear],"FY2023"))),0)</f>
        <v/>
      </c>
      <c r="J57" s="1" t="n"/>
      <c r="K57" s="1" t="n"/>
      <c r="L57" s="1" t="n"/>
    </row>
    <row r="58">
      <c r="A58" s="1" t="n"/>
      <c r="B58" s="62" t="inlineStr">
        <is>
          <t>FY2024</t>
        </is>
      </c>
      <c r="C58" s="66">
        <f>-(SUMIFS(Fact_TrialBalance[Amount],Fact_TrialBalance[EntityId],$C$8,Fact_TrialBalance[Category],"Operating Revenue",Fact_TrialBalance[FiscalYear],"FY2024"))</f>
        <v/>
      </c>
      <c r="D58" s="63">
        <f>IFERROR((SUMIFS(Fact_TrialBalance[Amount],Fact_TrialBalance[EntityId],$C$8,Fact_TrialBalance[Category],"COGS",Fact_TrialBalance[FiscalYear],"FY2024"))/(-(SUMIFS(Fact_TrialBalance[Amount],Fact_TrialBalance[EntityId],$C$8,Fact_TrialBalance[Category],"Operating Revenue",Fact_TrialBalance[FiscalYear],"FY2024"))),0)</f>
        <v/>
      </c>
      <c r="E58" s="63">
        <f>IFERROR((SUMIFS(Fact_TrialBalance[Amount],Fact_TrialBalance[EntityId],$C$8,Fact_TrialBalance[Category],"Payroll &amp; Benefits",Fact_TrialBalance[FiscalYear],"FY2024"))/(-(SUMIFS(Fact_TrialBalance[Amount],Fact_TrialBalance[EntityId],$C$8,Fact_TrialBalance[Category],"Operating Revenue",Fact_TrialBalance[FiscalYear],"FY2024"))),0)</f>
        <v/>
      </c>
      <c r="F58" s="1" t="n"/>
      <c r="G58" s="63">
        <f>IFERROR((SUMIFS(Fact_TrialBalance[Amount],Fact_TrialBalance[EntityId],$C$8,Fact_TrialBalance[Category],"Occupancy",Fact_TrialBalance[FiscalYear],"FY2024"))/(-(SUMIFS(Fact_TrialBalance[Amount],Fact_TrialBalance[EntityId],$C$8,Fact_TrialBalance[Category],"Operating Revenue",Fact_TrialBalance[FiscalYear],"FY2024"))),0)</f>
        <v/>
      </c>
      <c r="H58" s="63">
        <f>IFERROR((-(SUMIFS(Fact_TrialBalance[Amount],Fact_TrialBalance[EntityId],$C$8,Fact_TrialBalance[FiscalYear],"FY2024")-SUMPRODUCT((Fact_TrialBalance[EntityId]=$C$8)*(Fact_TrialBalance[FiscalYear]="FY2024")*(ISNUMBER(MATCH(Fact_TrialBalance[Category],{"Interest &amp; Financing","Amortization","Income Tax"},0)))*Fact_TrialBalance[Amount])))/(-(SUMIFS(Fact_TrialBalance[Amount],Fact_TrialBalance[EntityId],$C$8,Fact_TrialBalance[Category],"Operating Revenue",Fact_TrialBalance[FiscalYear],"FY2024"))),0)</f>
        <v/>
      </c>
      <c r="I58" s="63">
        <f>IFERROR((-(SUMIFS(Fact_TrialBalance[Amount],Fact_TrialBalance[EntityId],$C$8,Fact_TrialBalance[FiscalYear],"FY2024")))/(-(SUMIFS(Fact_TrialBalance[Amount],Fact_TrialBalance[EntityId],$C$8,Fact_TrialBalance[Category],"Operating Revenue",Fact_TrialBalance[FiscalYear],"FY2024"))),0)</f>
        <v/>
      </c>
      <c r="J58" s="1" t="n"/>
      <c r="K58" s="1" t="n"/>
      <c r="L58" s="1" t="n"/>
    </row>
    <row r="59">
      <c r="A59" s="1" t="n"/>
      <c r="B59" s="62" t="inlineStr">
        <is>
          <t>FY2025</t>
        </is>
      </c>
      <c r="C59" s="66">
        <f>-(SUMIFS(Fact_TrialBalance[Amount],Fact_TrialBalance[EntityId],$C$8,Fact_TrialBalance[Category],"Operating Revenue",Fact_TrialBalance[FiscalYear],"FY2025"))</f>
        <v/>
      </c>
      <c r="D59" s="63">
        <f>IFERROR((SUMIFS(Fact_TrialBalance[Amount],Fact_TrialBalance[EntityId],$C$8,Fact_TrialBalance[Category],"COGS",Fact_TrialBalance[FiscalYear],"FY2025"))/(-(SUMIFS(Fact_TrialBalance[Amount],Fact_TrialBalance[EntityId],$C$8,Fact_TrialBalance[Category],"Operating Revenue",Fact_TrialBalance[FiscalYear],"FY2025"))),0)</f>
        <v/>
      </c>
      <c r="E59" s="63">
        <f>IFERROR((SUMIFS(Fact_TrialBalance[Amount],Fact_TrialBalance[EntityId],$C$8,Fact_TrialBalance[Category],"Payroll &amp; Benefits",Fact_TrialBalance[FiscalYear],"FY2025"))/(-(SUMIFS(Fact_TrialBalance[Amount],Fact_TrialBalance[EntityId],$C$8,Fact_TrialBalance[Category],"Operating Revenue",Fact_TrialBalance[FiscalYear],"FY2025"))),0)</f>
        <v/>
      </c>
      <c r="F59" s="1" t="n"/>
      <c r="G59" s="63">
        <f>IFERROR((SUMIFS(Fact_TrialBalance[Amount],Fact_TrialBalance[EntityId],$C$8,Fact_TrialBalance[Category],"Occupancy",Fact_TrialBalance[FiscalYear],"FY2025"))/(-(SUMIFS(Fact_TrialBalance[Amount],Fact_TrialBalance[EntityId],$C$8,Fact_TrialBalance[Category],"Operating Revenue",Fact_TrialBalance[FiscalYear],"FY2025"))),0)</f>
        <v/>
      </c>
      <c r="H59" s="63">
        <f>IFERROR((-(SUMIFS(Fact_TrialBalance[Amount],Fact_TrialBalance[EntityId],$C$8,Fact_TrialBalance[FiscalYear],"FY2025")-SUMPRODUCT((Fact_TrialBalance[EntityId]=$C$8)*(Fact_TrialBalance[FiscalYear]="FY2025")*(ISNUMBER(MATCH(Fact_TrialBalance[Category],{"Interest &amp; Financing","Amortization","Income Tax"},0)))*Fact_TrialBalance[Amount])))/(-(SUMIFS(Fact_TrialBalance[Amount],Fact_TrialBalance[EntityId],$C$8,Fact_TrialBalance[Category],"Operating Revenue",Fact_TrialBalance[FiscalYear],"FY2025"))),0)</f>
        <v/>
      </c>
      <c r="I59" s="63">
        <f>IFERROR((-(SUMIFS(Fact_TrialBalance[Amount],Fact_TrialBalance[EntityId],$C$8,Fact_TrialBalance[FiscalYear],"FY2025")))/(-(SUMIFS(Fact_TrialBalance[Amount],Fact_TrialBalance[EntityId],$C$8,Fact_TrialBalance[Category],"Operating Revenue",Fact_TrialBalance[FiscalYear],"FY2025"))),0)</f>
        <v/>
      </c>
      <c r="J59" s="1" t="n"/>
      <c r="K59" s="1" t="n"/>
      <c r="L59" s="1" t="n"/>
    </row>
    <row r="60">
      <c r="A60" s="1" t="n"/>
      <c r="B60" s="1" t="n"/>
      <c r="C60" s="1" t="n"/>
      <c r="D60" s="1" t="n"/>
      <c r="E60" s="1" t="n"/>
      <c r="F60" s="1" t="n"/>
      <c r="G60" s="1" t="n"/>
      <c r="H60" s="1" t="n"/>
      <c r="I60" s="1" t="n"/>
      <c r="J60" s="1" t="n"/>
      <c r="K60" s="1" t="n"/>
      <c r="L60" s="1" t="n"/>
    </row>
    <row r="61">
      <c r="A61" s="1" t="n"/>
      <c r="B61" s="1" t="n"/>
      <c r="C61" s="1" t="n"/>
      <c r="D61" s="1" t="n"/>
      <c r="E61" s="1" t="n"/>
      <c r="F61" s="1" t="n"/>
      <c r="G61" s="1" t="n"/>
      <c r="H61" s="1" t="n"/>
      <c r="I61" s="1" t="n"/>
      <c r="J61" s="1" t="n"/>
      <c r="K61" s="1" t="n"/>
      <c r="L61" s="1" t="n"/>
    </row>
    <row r="62">
      <c r="A62" s="1" t="n"/>
      <c r="B62" s="1" t="n"/>
      <c r="C62" s="1" t="n"/>
      <c r="D62" s="1" t="n"/>
      <c r="E62" s="1" t="n"/>
      <c r="F62" s="1" t="n"/>
      <c r="G62" s="1" t="n"/>
      <c r="H62" s="1" t="n"/>
      <c r="I62" s="1" t="n"/>
      <c r="J62" s="1" t="n"/>
      <c r="K62" s="1" t="n"/>
      <c r="L62" s="1" t="n"/>
    </row>
    <row r="63">
      <c r="A63" s="1" t="n"/>
      <c r="B63" s="1" t="n"/>
      <c r="C63" s="1" t="n"/>
      <c r="D63" s="1" t="n"/>
      <c r="E63" s="1" t="n"/>
      <c r="F63" s="1" t="n"/>
      <c r="G63" s="1" t="n"/>
      <c r="H63" s="1" t="n"/>
      <c r="I63" s="1" t="n"/>
      <c r="J63" s="1" t="n"/>
      <c r="K63" s="1" t="n"/>
      <c r="L63" s="1" t="n"/>
    </row>
    <row r="64">
      <c r="A64" s="1" t="n"/>
      <c r="B64" s="1" t="n"/>
      <c r="C64" s="1" t="n"/>
      <c r="D64" s="1" t="n"/>
      <c r="E64" s="1" t="n"/>
      <c r="F64" s="1" t="n"/>
      <c r="G64" s="1" t="n"/>
      <c r="H64" s="1" t="n"/>
      <c r="I64" s="1" t="n"/>
      <c r="J64" s="1" t="n"/>
      <c r="K64" s="1" t="n"/>
      <c r="L64" s="1" t="n"/>
    </row>
    <row r="65">
      <c r="A65" s="1" t="n"/>
      <c r="B65" s="1" t="n"/>
      <c r="C65" s="1" t="n"/>
      <c r="D65" s="1" t="n"/>
      <c r="E65" s="1" t="n"/>
      <c r="F65" s="1" t="n"/>
      <c r="G65" s="1" t="n"/>
      <c r="H65" s="1" t="n"/>
      <c r="I65" s="1" t="n"/>
      <c r="J65" s="1" t="n"/>
      <c r="K65" s="1" t="n"/>
      <c r="L65" s="1" t="n"/>
    </row>
    <row r="66">
      <c r="A66" s="1" t="n"/>
      <c r="B66" s="1" t="n"/>
      <c r="C66" s="1" t="n"/>
      <c r="D66" s="1" t="n"/>
      <c r="E66" s="1" t="n"/>
      <c r="F66" s="1" t="n"/>
      <c r="G66" s="1" t="n"/>
      <c r="H66" s="1" t="n"/>
      <c r="I66" s="1" t="n"/>
      <c r="J66" s="1" t="n"/>
      <c r="K66" s="1" t="n"/>
      <c r="L66" s="1" t="n"/>
    </row>
    <row r="67">
      <c r="A67" s="1" t="n"/>
      <c r="B67" s="1" t="n"/>
      <c r="C67" s="1" t="n"/>
      <c r="D67" s="1" t="n"/>
      <c r="E67" s="1" t="n"/>
      <c r="F67" s="1" t="n"/>
      <c r="G67" s="1" t="n"/>
      <c r="H67" s="1" t="n"/>
      <c r="I67" s="1" t="n"/>
      <c r="J67" s="1" t="n"/>
      <c r="K67" s="1" t="n"/>
      <c r="L67" s="1" t="n"/>
    </row>
    <row r="68">
      <c r="A68" s="1" t="n"/>
      <c r="B68" s="1" t="n"/>
      <c r="C68" s="1" t="n"/>
      <c r="D68" s="1" t="n"/>
      <c r="E68" s="1" t="n"/>
      <c r="F68" s="1" t="n"/>
      <c r="G68" s="1" t="n"/>
      <c r="H68" s="1" t="n"/>
      <c r="I68" s="1" t="n"/>
      <c r="J68" s="1" t="n"/>
      <c r="K68" s="1" t="n"/>
      <c r="L68" s="1" t="n"/>
    </row>
    <row r="69">
      <c r="A69" s="1" t="n"/>
      <c r="B69" s="1" t="n"/>
      <c r="C69" s="1" t="n"/>
      <c r="D69" s="1" t="n"/>
      <c r="E69" s="1" t="n"/>
      <c r="F69" s="1" t="n"/>
      <c r="G69" s="1" t="n"/>
      <c r="H69" s="1" t="n"/>
      <c r="I69" s="1" t="n"/>
      <c r="J69" s="1" t="n"/>
      <c r="K69" s="1" t="n"/>
      <c r="L69" s="1" t="n"/>
    </row>
    <row r="70">
      <c r="A70" s="1" t="n"/>
      <c r="B70" s="1" t="n"/>
      <c r="C70" s="1" t="n"/>
      <c r="D70" s="1" t="n"/>
      <c r="E70" s="1" t="n"/>
      <c r="F70" s="1" t="n"/>
      <c r="G70" s="1" t="n"/>
      <c r="H70" s="1" t="n"/>
      <c r="I70" s="1" t="n"/>
      <c r="J70" s="1" t="n"/>
      <c r="K70" s="1" t="n"/>
      <c r="L70" s="1" t="n"/>
    </row>
  </sheetData>
  <mergeCells count="23">
    <mergeCell ref="D10:E10"/>
    <mergeCell ref="G15:H16"/>
    <mergeCell ref="B15:C16"/>
    <mergeCell ref="D15:E16"/>
    <mergeCell ref="B53:J53"/>
    <mergeCell ref="G10:H10"/>
    <mergeCell ref="B14:C14"/>
    <mergeCell ref="B55:J55"/>
    <mergeCell ref="B2:J3"/>
    <mergeCell ref="B36:J36"/>
    <mergeCell ref="I15:J16"/>
    <mergeCell ref="B10:C10"/>
    <mergeCell ref="G11:H12"/>
    <mergeCell ref="I11:J12"/>
    <mergeCell ref="G14:H14"/>
    <mergeCell ref="B4:J4"/>
    <mergeCell ref="I14:J14"/>
    <mergeCell ref="C6:E6"/>
    <mergeCell ref="B11:C12"/>
    <mergeCell ref="I10:J10"/>
    <mergeCell ref="D11:E12"/>
    <mergeCell ref="D14:E14"/>
    <mergeCell ref="B19:E19"/>
  </mergeCells>
  <conditionalFormatting sqref="E38:E48">
    <cfRule type="cellIs" priority="1" operator="greaterThan" dxfId="0">
      <formula>0.005</formula>
    </cfRule>
    <cfRule type="cellIs" priority="2" operator="lessThan" dxfId="1">
      <formula>-0.005</formula>
    </cfRule>
  </conditionalFormatting>
  <dataValidations count="2">
    <dataValidation sqref="C6" showDropDown="0" showInputMessage="0" showErrorMessage="0" allowBlank="0" type="list">
      <formula1>=Dim_Entity!$B$2:$B$17</formula1>
    </dataValidation>
    <dataValidation sqref="H6" showDropDown="0" showInputMessage="0" showErrorMessage="0" allowBlank="0" type="list">
      <formula1>=Dim_Calendar!$A$2:$A$4</formula1>
    </dataValidation>
  </dataValidations>
  <hyperlinks>
    <hyperlink xmlns:r="http://schemas.openxmlformats.org/officeDocument/2006/relationships" ref="B1" r:id="rId1"/>
  </hyperlinks>
  <printOptions horizontalCentered="0"/>
  <pageMargins left="0.75" right="0.75" top="1" bottom="1" header="0.5" footer="0.5"/>
  <pageSetup orientation="landscape" fitToHeight="0" fitToWidth="1"/>
  <drawing xmlns:r="http://schemas.openxmlformats.org/officeDocument/2006/relationships" r:id="rId2"/>
</worksheet>
</file>

<file path=xl/worksheets/sheet3.xml><?xml version="1.0" encoding="utf-8"?>
<worksheet xmlns="http://schemas.openxmlformats.org/spreadsheetml/2006/main">
  <sheetPr>
    <tabColor rgb="001C2B45"/>
    <outlinePr summaryBelow="1" summaryRight="1"/>
    <pageSetUpPr fitToPage="1"/>
  </sheetPr>
  <dimension ref="A1:N140"/>
  <sheetViews>
    <sheetView showGridLines="0" workbookViewId="0">
      <selection activeCell="A1" sqref="A1"/>
    </sheetView>
  </sheetViews>
  <sheetFormatPr baseColWidth="8" defaultRowHeight="15"/>
  <cols>
    <col width="3" customWidth="1" min="1" max="1"/>
    <col width="6" customWidth="1" min="2" max="2"/>
    <col width="30"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s>
  <sheetData>
    <row r="1">
      <c r="A1" s="1" t="n"/>
      <c r="B1" s="48" t="inlineStr">
        <is>
          <t>← 01 Exec Summary</t>
        </is>
      </c>
      <c r="C1" s="1" t="n"/>
      <c r="D1" s="1" t="n"/>
      <c r="E1" s="1" t="n"/>
      <c r="F1" s="1" t="n"/>
      <c r="G1" s="1" t="n"/>
      <c r="H1" s="1" t="n"/>
      <c r="I1" s="1" t="n"/>
      <c r="J1" s="1" t="n"/>
      <c r="K1" s="1" t="n"/>
      <c r="L1" s="1" t="n"/>
      <c r="M1" s="1" t="n"/>
      <c r="N1" s="1" t="n"/>
    </row>
    <row r="2">
      <c r="A2" s="1" t="n"/>
      <c r="B2" s="2" t="inlineStr">
        <is>
          <t>GROUP SUMMARY — ALL ENTITIES, ONE FISCAL YEAR</t>
        </is>
      </c>
      <c r="C2" s="3" t="n"/>
      <c r="D2" s="3" t="n"/>
      <c r="E2" s="3" t="n"/>
      <c r="F2" s="1" t="n"/>
      <c r="G2" s="1" t="n"/>
      <c r="H2" s="1" t="n"/>
      <c r="I2" s="1" t="n"/>
      <c r="J2" s="4" t="inlineStr">
        <is>
          <t>Showing</t>
        </is>
      </c>
      <c r="K2" s="5">
        <f>'01 Exec Summary'!$K$2</f>
        <v/>
      </c>
      <c r="M2" s="1" t="n"/>
      <c r="N2" s="1" t="n"/>
    </row>
    <row r="3">
      <c r="A3" s="1" t="n"/>
      <c r="B3" s="1" t="n"/>
      <c r="C3" s="1" t="n"/>
      <c r="D3" s="1" t="n"/>
      <c r="E3" s="1" t="n"/>
      <c r="F3" s="1" t="n"/>
      <c r="G3" s="1" t="n"/>
      <c r="H3" s="1" t="n"/>
      <c r="I3" s="1" t="n"/>
      <c r="J3" s="1" t="n"/>
      <c r="K3" s="1" t="n"/>
      <c r="L3" s="1" t="n"/>
      <c r="M3" s="1" t="n"/>
      <c r="N3" s="1" t="n"/>
    </row>
    <row r="4">
      <c r="A4" s="1" t="n"/>
      <c r="B4" s="67" t="inlineStr">
        <is>
          <t>Sandhu Group — Group Summary</t>
        </is>
      </c>
      <c r="M4" s="1" t="n"/>
      <c r="N4" s="1" t="n"/>
    </row>
    <row r="5">
      <c r="A5" s="1" t="n"/>
      <c r="M5" s="1" t="n"/>
      <c r="N5" s="1" t="n"/>
    </row>
    <row r="6">
      <c r="A6" s="1" t="n"/>
      <c r="B6" s="68">
        <f>"16-entity group total (per Entity Register), fiscal year "&amp;'01 Exec Summary'!$K$2&amp;" — full scope, 2 family trusts excluded. Change the year on 01 Exec Summary."</f>
        <v/>
      </c>
      <c r="M6" s="1" t="n"/>
      <c r="N6" s="1" t="n"/>
    </row>
    <row r="7">
      <c r="A7" s="1" t="n"/>
      <c r="B7" s="1" t="n"/>
      <c r="C7" s="1" t="n"/>
      <c r="D7" s="1" t="n"/>
      <c r="E7" s="1" t="n"/>
      <c r="F7" s="1" t="n"/>
      <c r="G7" s="1" t="n"/>
      <c r="H7" s="1" t="n"/>
      <c r="I7" s="1" t="n"/>
      <c r="J7" s="1" t="n"/>
      <c r="K7" s="1" t="n"/>
      <c r="L7" s="1" t="n"/>
      <c r="M7" s="1" t="n"/>
      <c r="N7" s="1" t="n"/>
    </row>
    <row r="8">
      <c r="A8" s="1" t="n"/>
      <c r="B8" s="1" t="n"/>
      <c r="C8" s="1" t="n"/>
      <c r="D8" s="1" t="n"/>
      <c r="E8" s="1" t="n"/>
      <c r="F8" s="1" t="n"/>
      <c r="G8" s="1" t="n"/>
      <c r="H8" s="1" t="n"/>
      <c r="I8" s="1" t="n"/>
      <c r="J8" s="1" t="n"/>
      <c r="K8" s="1" t="n"/>
      <c r="L8" s="1" t="n"/>
      <c r="M8" s="1" t="n"/>
      <c r="N8" s="1" t="n"/>
    </row>
    <row r="9">
      <c r="A9" s="1" t="n"/>
      <c r="B9" s="14" t="inlineStr">
        <is>
          <t>GROUP REVENUE</t>
        </is>
      </c>
      <c r="C9" s="15" t="n"/>
      <c r="D9" s="14" t="inlineStr">
        <is>
          <t>GROUP EBITDA</t>
        </is>
      </c>
      <c r="E9" s="15" t="n"/>
      <c r="F9" s="14" t="inlineStr">
        <is>
          <t>GROUP NET INCOME</t>
        </is>
      </c>
      <c r="G9" s="15" t="n"/>
      <c r="H9" s="14" t="inlineStr">
        <is>
          <t>GROUP INCOME TAX</t>
        </is>
      </c>
      <c r="I9" s="15" t="n"/>
      <c r="J9" s="14" t="inlineStr">
        <is>
          <t>EFFECTIVE TAX RATE</t>
        </is>
      </c>
      <c r="K9" s="15" t="n"/>
      <c r="L9" s="1" t="n"/>
      <c r="M9" s="1" t="n"/>
      <c r="N9" s="1" t="n"/>
    </row>
    <row r="10">
      <c r="A10" s="1" t="n"/>
      <c r="B10" s="16">
        <f>SUM('Entity Register'!C5:C20)</f>
        <v/>
      </c>
      <c r="C10" s="15" t="n"/>
      <c r="D10" s="16">
        <f>SUM('Entity Register'!J5:J20)</f>
        <v/>
      </c>
      <c r="E10" s="15" t="n"/>
      <c r="F10" s="16">
        <f>SUM('Entity Register'!K5:K20)</f>
        <v/>
      </c>
      <c r="G10" s="15" t="n"/>
      <c r="H10" s="16">
        <f>SUM('Entity Register'!I5:I20)</f>
        <v/>
      </c>
      <c r="I10" s="15" t="n"/>
      <c r="J10" s="17">
        <f>IFERROR(SUM('Entity Register'!I5:I20)/(SUM('Entity Register'!K5:K20)+SUM('Entity Register'!I5:I20)),0)</f>
        <v/>
      </c>
      <c r="K10" s="15" t="n"/>
      <c r="L10" s="1" t="n"/>
      <c r="M10" s="1" t="n"/>
      <c r="N10" s="1" t="n"/>
    </row>
    <row r="11">
      <c r="A11" s="1" t="n"/>
      <c r="B11" s="15" t="n"/>
      <c r="C11" s="15" t="n"/>
      <c r="D11" s="15" t="n"/>
      <c r="E11" s="15" t="n"/>
      <c r="F11" s="15" t="n"/>
      <c r="G11" s="15" t="n"/>
      <c r="H11" s="15" t="n"/>
      <c r="I11" s="15" t="n"/>
      <c r="J11" s="15" t="n"/>
      <c r="K11" s="15" t="n"/>
      <c r="L11" s="1" t="n"/>
      <c r="M11" s="1" t="n"/>
      <c r="N11" s="1" t="n"/>
    </row>
    <row r="12">
      <c r="A12" s="1" t="n"/>
      <c r="B12" s="1" t="n"/>
      <c r="C12" s="1" t="n"/>
      <c r="D12" s="19">
        <f>TEXT(SUM('Entity Register'!J5:J20)/SUM('Entity Register'!C5:C20),"0.0%")&amp;" margin"</f>
        <v/>
      </c>
      <c r="F12" s="1" t="n"/>
      <c r="G12" s="1" t="n"/>
      <c r="H12" s="1" t="n"/>
      <c r="I12" s="1" t="n"/>
      <c r="J12" s="1" t="n"/>
      <c r="K12" s="1" t="n"/>
      <c r="L12" s="1" t="n"/>
      <c r="M12" s="1" t="n"/>
      <c r="N12" s="1" t="n"/>
    </row>
    <row r="13">
      <c r="A13" s="1" t="n"/>
      <c r="B13" s="1" t="n"/>
      <c r="C13" s="1" t="n"/>
      <c r="D13" s="1" t="n"/>
      <c r="E13" s="1" t="n"/>
      <c r="F13" s="1" t="n"/>
      <c r="G13" s="1" t="n"/>
      <c r="H13" s="1" t="n"/>
      <c r="I13" s="1" t="n"/>
      <c r="J13" s="1" t="n"/>
      <c r="K13" s="1" t="n"/>
      <c r="L13" s="1" t="n"/>
      <c r="M13" s="1" t="n"/>
      <c r="N13" s="1" t="n"/>
    </row>
    <row r="14">
      <c r="A14" s="1" t="n"/>
      <c r="B14" s="1" t="n"/>
      <c r="C14" s="1" t="n"/>
      <c r="D14" s="1" t="n"/>
      <c r="E14" s="1" t="n"/>
      <c r="F14" s="1" t="n"/>
      <c r="G14" s="1" t="n"/>
      <c r="H14" s="1" t="n"/>
      <c r="I14" s="1" t="n"/>
      <c r="J14" s="1" t="n"/>
      <c r="K14" s="1" t="n"/>
      <c r="L14" s="1" t="n"/>
      <c r="M14" s="1" t="n"/>
      <c r="N14" s="1" t="n"/>
    </row>
    <row r="15">
      <c r="A15" s="1" t="n"/>
      <c r="B15" s="14" t="inlineStr">
        <is>
          <t>ENTITIES IN MODEL</t>
        </is>
      </c>
      <c r="C15" s="15" t="n"/>
      <c r="D15" s="14" t="inlineStr">
        <is>
          <t>ENTITIES IN LOSS POSITION</t>
        </is>
      </c>
      <c r="E15" s="15" t="n"/>
      <c r="F15" s="14" t="inlineStr">
        <is>
          <t>TOP PERFORMER</t>
        </is>
      </c>
      <c r="G15" s="15" t="n"/>
      <c r="H15" s="15" t="n"/>
      <c r="I15" s="14" t="inlineStr">
        <is>
          <t>BIGGEST LOSS</t>
        </is>
      </c>
      <c r="J15" s="15" t="n"/>
      <c r="K15" s="15" t="n"/>
      <c r="L15" s="1" t="n"/>
      <c r="M15" s="1" t="n"/>
      <c r="N15" s="1" t="n"/>
    </row>
    <row r="16">
      <c r="A16" s="1" t="n"/>
      <c r="B16" s="69">
        <f>COUNTA('Entity Register'!A5:A20)</f>
        <v/>
      </c>
      <c r="C16" s="15" t="n"/>
      <c r="D16" s="18">
        <f>COUNTIF('Entity Register'!K5:K20,"&lt;0")&amp;" / "&amp;COUNTA('Entity Register'!A5:A20)</f>
        <v/>
      </c>
      <c r="E16" s="15" t="n"/>
      <c r="F16" s="70">
        <f>INDEX('Entity Register'!A5:A20,MATCH(MAX('Entity Register'!K5:K20),'Entity Register'!K5:K20,0))</f>
        <v/>
      </c>
      <c r="G16" s="15" t="n"/>
      <c r="H16" s="15" t="n"/>
      <c r="I16" s="70">
        <f>INDEX('Entity Register'!A5:A20,MATCH(MIN('Entity Register'!K5:K20),'Entity Register'!K5:K20,0))</f>
        <v/>
      </c>
      <c r="J16" s="15" t="n"/>
      <c r="K16" s="15" t="n"/>
      <c r="L16" s="1" t="n"/>
      <c r="M16" s="1" t="n"/>
      <c r="N16" s="1" t="n"/>
    </row>
    <row r="17">
      <c r="A17" s="1" t="n"/>
      <c r="B17" s="15" t="n"/>
      <c r="C17" s="15" t="n"/>
      <c r="D17" s="15" t="n"/>
      <c r="E17" s="15" t="n"/>
      <c r="F17" s="15" t="n"/>
      <c r="G17" s="15" t="n"/>
      <c r="H17" s="15" t="n"/>
      <c r="I17" s="15" t="n"/>
      <c r="J17" s="15" t="n"/>
      <c r="K17" s="15" t="n"/>
      <c r="L17" s="1" t="n"/>
      <c r="M17" s="1" t="n"/>
      <c r="N17" s="1" t="n"/>
    </row>
    <row r="18">
      <c r="A18" s="1" t="n"/>
      <c r="B18" s="1" t="n"/>
      <c r="C18" s="1" t="n"/>
      <c r="D18" s="1" t="n"/>
      <c r="E18" s="1" t="n"/>
      <c r="F18" s="1" t="n"/>
      <c r="G18" s="1" t="n"/>
      <c r="H18" s="1" t="n"/>
      <c r="I18" s="1" t="n"/>
      <c r="J18" s="1" t="n"/>
      <c r="K18" s="1" t="n"/>
      <c r="L18" s="1" t="n"/>
      <c r="M18" s="1" t="n"/>
      <c r="N18" s="1" t="n"/>
    </row>
    <row r="19">
      <c r="A19" s="1" t="n"/>
      <c r="B19" s="1" t="n"/>
      <c r="C19" s="1" t="n"/>
      <c r="D19" s="1" t="n"/>
      <c r="E19" s="1" t="n"/>
      <c r="F19" s="1" t="n"/>
      <c r="G19" s="1" t="n"/>
      <c r="H19" s="1" t="n"/>
      <c r="I19" s="1" t="n"/>
      <c r="J19" s="1" t="n"/>
      <c r="K19" s="1" t="n"/>
      <c r="L19" s="1" t="n"/>
      <c r="M19" s="1" t="n"/>
      <c r="N19" s="1" t="n"/>
    </row>
    <row r="20">
      <c r="A20" s="1" t="n"/>
      <c r="B20" s="1" t="n"/>
      <c r="C20" s="1" t="n"/>
      <c r="D20" s="1" t="n"/>
      <c r="E20" s="1" t="n"/>
      <c r="F20" s="1" t="n"/>
      <c r="G20" s="1" t="n"/>
      <c r="H20" s="1" t="n"/>
      <c r="I20" s="1" t="n"/>
      <c r="J20" s="1" t="n"/>
      <c r="K20" s="1" t="n"/>
      <c r="L20" s="1" t="n"/>
      <c r="M20" s="1" t="n"/>
      <c r="N20" s="1" t="n"/>
    </row>
    <row r="21">
      <c r="A21" s="1" t="n"/>
      <c r="B21" s="20" t="inlineStr">
        <is>
          <t>Entity Leaderboard — ranked by Net Income</t>
        </is>
      </c>
      <c r="M21" s="1" t="n"/>
      <c r="N21" s="1" t="n"/>
    </row>
    <row r="22">
      <c r="A22" s="1" t="n"/>
      <c r="B22" s="45" t="inlineStr">
        <is>
          <t>Rank</t>
        </is>
      </c>
      <c r="C22" s="45" t="inlineStr">
        <is>
          <t>Entity</t>
        </is>
      </c>
      <c r="D22" s="45" t="inlineStr">
        <is>
          <t>Industry</t>
        </is>
      </c>
      <c r="E22" s="45" t="inlineStr">
        <is>
          <t>Revenue</t>
        </is>
      </c>
      <c r="F22" s="45" t="inlineStr">
        <is>
          <t>EBITDA</t>
        </is>
      </c>
      <c r="G22" s="45" t="inlineStr">
        <is>
          <t>EBITDA Margin</t>
        </is>
      </c>
      <c r="H22" s="45" t="inlineStr">
        <is>
          <t>Net Income</t>
        </is>
      </c>
      <c r="I22" s="1" t="n"/>
      <c r="J22" s="1" t="n"/>
      <c r="K22" s="1" t="n"/>
      <c r="L22" s="1" t="n"/>
      <c r="M22" s="1" t="n"/>
      <c r="N22" s="1" t="n"/>
    </row>
    <row r="23">
      <c r="A23" s="1" t="n"/>
      <c r="B23" s="71" t="n">
        <v>1</v>
      </c>
      <c r="C23" s="72">
        <f>'Entity Register'!A10</f>
        <v/>
      </c>
      <c r="D23" s="1" t="inlineStr">
        <is>
          <t>Investments</t>
        </is>
      </c>
      <c r="E23" s="44">
        <f>'Entity Register'!C10</f>
        <v/>
      </c>
      <c r="F23" s="44">
        <f>'Entity Register'!J10</f>
        <v/>
      </c>
      <c r="G23" s="46">
        <f>IF(E23=0,"n/m",F23/E23)</f>
        <v/>
      </c>
      <c r="H23" s="44">
        <f>'Entity Register'!K10</f>
        <v/>
      </c>
      <c r="I23" s="1" t="n"/>
      <c r="J23" s="1" t="n"/>
      <c r="K23" s="1" t="n"/>
      <c r="L23" s="1" t="n"/>
      <c r="M23" s="1" t="n"/>
      <c r="N23" s="1" t="n"/>
    </row>
    <row r="24">
      <c r="A24" s="1" t="n"/>
      <c r="B24" s="71" t="n">
        <v>2</v>
      </c>
      <c r="C24" s="72">
        <f>'Entity Register'!A15</f>
        <v/>
      </c>
      <c r="D24" s="1" t="inlineStr">
        <is>
          <t>Restaurant</t>
        </is>
      </c>
      <c r="E24" s="44">
        <f>'Entity Register'!C15</f>
        <v/>
      </c>
      <c r="F24" s="44">
        <f>'Entity Register'!J15</f>
        <v/>
      </c>
      <c r="G24" s="46">
        <f>IF(E24=0,"n/m",F24/E24)</f>
        <v/>
      </c>
      <c r="H24" s="44">
        <f>'Entity Register'!K15</f>
        <v/>
      </c>
      <c r="I24" s="1" t="n"/>
      <c r="J24" s="1" t="n"/>
      <c r="K24" s="1" t="n"/>
      <c r="L24" s="1" t="n"/>
      <c r="M24" s="1" t="n"/>
      <c r="N24" s="1" t="n"/>
    </row>
    <row r="25">
      <c r="A25" s="1" t="n"/>
      <c r="B25" s="71" t="n">
        <v>3</v>
      </c>
      <c r="C25" s="72">
        <f>'Entity Register'!A11</f>
        <v/>
      </c>
      <c r="D25" s="1" t="inlineStr">
        <is>
          <t>Hotel</t>
        </is>
      </c>
      <c r="E25" s="44">
        <f>'Entity Register'!C11</f>
        <v/>
      </c>
      <c r="F25" s="44">
        <f>'Entity Register'!J11</f>
        <v/>
      </c>
      <c r="G25" s="46">
        <f>IF(E25=0,"n/m",F25/E25)</f>
        <v/>
      </c>
      <c r="H25" s="44">
        <f>'Entity Register'!K11</f>
        <v/>
      </c>
      <c r="I25" s="1" t="n"/>
      <c r="J25" s="1" t="n"/>
      <c r="K25" s="1" t="n"/>
      <c r="L25" s="1" t="n"/>
      <c r="M25" s="1" t="n"/>
      <c r="N25" s="1" t="n"/>
    </row>
    <row r="26">
      <c r="A26" s="1" t="n"/>
      <c r="B26" s="71" t="n">
        <v>4</v>
      </c>
      <c r="C26" s="72">
        <f>'Entity Register'!A17</f>
        <v/>
      </c>
      <c r="D26" s="1" t="inlineStr">
        <is>
          <t>Restaurant</t>
        </is>
      </c>
      <c r="E26" s="44">
        <f>'Entity Register'!C17</f>
        <v/>
      </c>
      <c r="F26" s="44">
        <f>'Entity Register'!J17</f>
        <v/>
      </c>
      <c r="G26" s="46">
        <f>IF(E26=0,"n/m",F26/E26)</f>
        <v/>
      </c>
      <c r="H26" s="44">
        <f>'Entity Register'!K17</f>
        <v/>
      </c>
      <c r="I26" s="1" t="n"/>
      <c r="J26" s="1" t="n"/>
      <c r="K26" s="1" t="n"/>
      <c r="L26" s="1" t="n"/>
      <c r="M26" s="1" t="n"/>
      <c r="N26" s="1" t="n"/>
    </row>
    <row r="27">
      <c r="A27" s="1" t="n"/>
      <c r="B27" s="71" t="n">
        <v>5</v>
      </c>
      <c r="C27" s="72">
        <f>'Entity Register'!A7</f>
        <v/>
      </c>
      <c r="D27" s="1" t="inlineStr">
        <is>
          <t>Real estate</t>
        </is>
      </c>
      <c r="E27" s="44">
        <f>'Entity Register'!C7</f>
        <v/>
      </c>
      <c r="F27" s="44">
        <f>'Entity Register'!J7</f>
        <v/>
      </c>
      <c r="G27" s="46">
        <f>IF(E27=0,"n/m",F27/E27)</f>
        <v/>
      </c>
      <c r="H27" s="44">
        <f>'Entity Register'!K7</f>
        <v/>
      </c>
      <c r="I27" s="1" t="n"/>
      <c r="J27" s="1" t="n"/>
      <c r="K27" s="1" t="n"/>
      <c r="L27" s="1" t="n"/>
      <c r="M27" s="1" t="n"/>
      <c r="N27" s="1" t="n"/>
    </row>
    <row r="28">
      <c r="A28" s="1" t="n"/>
      <c r="B28" s="71" t="n">
        <v>6</v>
      </c>
      <c r="C28" s="72">
        <f>'Entity Register'!A19</f>
        <v/>
      </c>
      <c r="D28" s="1" t="inlineStr">
        <is>
          <t>Rental</t>
        </is>
      </c>
      <c r="E28" s="44">
        <f>'Entity Register'!C19</f>
        <v/>
      </c>
      <c r="F28" s="44">
        <f>'Entity Register'!J19</f>
        <v/>
      </c>
      <c r="G28" s="46">
        <f>IF(E28=0,"n/m",F28/E28)</f>
        <v/>
      </c>
      <c r="H28" s="44">
        <f>'Entity Register'!K19</f>
        <v/>
      </c>
      <c r="I28" s="1" t="n"/>
      <c r="J28" s="1" t="n"/>
      <c r="K28" s="1" t="n"/>
      <c r="L28" s="1" t="n"/>
      <c r="M28" s="1" t="n"/>
      <c r="N28" s="1" t="n"/>
    </row>
    <row r="29">
      <c r="A29" s="1" t="n"/>
      <c r="B29" s="71" t="n">
        <v>7</v>
      </c>
      <c r="C29" s="72">
        <f>'Entity Register'!A9</f>
        <v/>
      </c>
      <c r="D29" s="1" t="inlineStr">
        <is>
          <t>Investments</t>
        </is>
      </c>
      <c r="E29" s="44">
        <f>'Entity Register'!C9</f>
        <v/>
      </c>
      <c r="F29" s="44">
        <f>'Entity Register'!J9</f>
        <v/>
      </c>
      <c r="G29" s="46">
        <f>IF(E29=0,"n/m",F29/E29)</f>
        <v/>
      </c>
      <c r="H29" s="44">
        <f>'Entity Register'!K9</f>
        <v/>
      </c>
      <c r="I29" s="1" t="n"/>
      <c r="J29" s="1" t="n"/>
      <c r="K29" s="1" t="n"/>
      <c r="L29" s="1" t="n"/>
      <c r="M29" s="1" t="n"/>
      <c r="N29" s="1" t="n"/>
    </row>
    <row r="30">
      <c r="A30" s="1" t="n"/>
      <c r="B30" s="71" t="n">
        <v>8</v>
      </c>
      <c r="C30" s="72">
        <f>'Entity Register'!A8</f>
        <v/>
      </c>
      <c r="D30" s="1" t="inlineStr">
        <is>
          <t>Investments</t>
        </is>
      </c>
      <c r="E30" s="44">
        <f>'Entity Register'!C8</f>
        <v/>
      </c>
      <c r="F30" s="44">
        <f>'Entity Register'!J8</f>
        <v/>
      </c>
      <c r="G30" s="46">
        <f>IF(E30=0,"n/m",F30/E30)</f>
        <v/>
      </c>
      <c r="H30" s="44">
        <f>'Entity Register'!K8</f>
        <v/>
      </c>
      <c r="I30" s="1" t="n"/>
      <c r="J30" s="1" t="n"/>
      <c r="K30" s="1" t="n"/>
      <c r="L30" s="1" t="n"/>
      <c r="M30" s="1" t="n"/>
      <c r="N30" s="1" t="n"/>
    </row>
    <row r="31">
      <c r="A31" s="1" t="n"/>
      <c r="B31" s="71" t="n">
        <v>9</v>
      </c>
      <c r="C31" s="72">
        <f>'Entity Register'!A5</f>
        <v/>
      </c>
      <c r="D31" s="1" t="inlineStr">
        <is>
          <t>Construction</t>
        </is>
      </c>
      <c r="E31" s="44">
        <f>'Entity Register'!C5</f>
        <v/>
      </c>
      <c r="F31" s="44">
        <f>'Entity Register'!J5</f>
        <v/>
      </c>
      <c r="G31" s="46">
        <f>IF(E31=0,"n/m",F31/E31)</f>
        <v/>
      </c>
      <c r="H31" s="44">
        <f>'Entity Register'!K5</f>
        <v/>
      </c>
      <c r="I31" s="1" t="n"/>
      <c r="J31" s="1" t="n"/>
      <c r="K31" s="1" t="n"/>
      <c r="L31" s="1" t="n"/>
      <c r="M31" s="1" t="n"/>
      <c r="N31" s="1" t="n"/>
    </row>
    <row r="32">
      <c r="A32" s="1" t="n"/>
      <c r="B32" s="71" t="n">
        <v>10</v>
      </c>
      <c r="C32" s="72">
        <f>'Entity Register'!A16</f>
        <v/>
      </c>
      <c r="D32" s="1" t="inlineStr">
        <is>
          <t>Restaurant</t>
        </is>
      </c>
      <c r="E32" s="44">
        <f>'Entity Register'!C16</f>
        <v/>
      </c>
      <c r="F32" s="44">
        <f>'Entity Register'!J16</f>
        <v/>
      </c>
      <c r="G32" s="46">
        <f>IF(E32=0,"n/m",F32/E32)</f>
        <v/>
      </c>
      <c r="H32" s="44">
        <f>'Entity Register'!K16</f>
        <v/>
      </c>
      <c r="I32" s="1" t="n"/>
      <c r="J32" s="1" t="n"/>
      <c r="K32" s="1" t="n"/>
      <c r="L32" s="1" t="n"/>
      <c r="M32" s="1" t="n"/>
      <c r="N32" s="1" t="n"/>
    </row>
    <row r="33">
      <c r="A33" s="1" t="n"/>
      <c r="B33" s="71" t="n">
        <v>11</v>
      </c>
      <c r="C33" s="72">
        <f>'Entity Register'!A20</f>
        <v/>
      </c>
      <c r="D33" s="1" t="inlineStr">
        <is>
          <t>Rental</t>
        </is>
      </c>
      <c r="E33" s="44">
        <f>'Entity Register'!C20</f>
        <v/>
      </c>
      <c r="F33" s="44">
        <f>'Entity Register'!J20</f>
        <v/>
      </c>
      <c r="G33" s="46">
        <f>IF(E33=0,"n/m",F33/E33)</f>
        <v/>
      </c>
      <c r="H33" s="44">
        <f>'Entity Register'!K20</f>
        <v/>
      </c>
      <c r="I33" s="1" t="n"/>
      <c r="J33" s="1" t="n"/>
      <c r="K33" s="1" t="n"/>
      <c r="L33" s="1" t="n"/>
      <c r="M33" s="1" t="n"/>
      <c r="N33" s="1" t="n"/>
    </row>
    <row r="34">
      <c r="A34" s="1" t="n"/>
      <c r="B34" s="71" t="n">
        <v>12</v>
      </c>
      <c r="C34" s="72">
        <f>'Entity Register'!A13</f>
        <v/>
      </c>
      <c r="D34" s="1" t="inlineStr">
        <is>
          <t>Restaurant</t>
        </is>
      </c>
      <c r="E34" s="44">
        <f>'Entity Register'!C13</f>
        <v/>
      </c>
      <c r="F34" s="44">
        <f>'Entity Register'!J13</f>
        <v/>
      </c>
      <c r="G34" s="46">
        <f>IF(E34=0,"n/m",F34/E34)</f>
        <v/>
      </c>
      <c r="H34" s="44">
        <f>'Entity Register'!K13</f>
        <v/>
      </c>
      <c r="I34" s="1" t="n"/>
      <c r="J34" s="1" t="n"/>
      <c r="K34" s="1" t="n"/>
      <c r="L34" s="1" t="n"/>
      <c r="M34" s="1" t="n"/>
      <c r="N34" s="1" t="n"/>
    </row>
    <row r="35">
      <c r="A35" s="1" t="n"/>
      <c r="B35" s="71" t="n">
        <v>13</v>
      </c>
      <c r="C35" s="72">
        <f>'Entity Register'!A18</f>
        <v/>
      </c>
      <c r="D35" s="1" t="inlineStr">
        <is>
          <t>Restaurant</t>
        </is>
      </c>
      <c r="E35" s="44">
        <f>'Entity Register'!C18</f>
        <v/>
      </c>
      <c r="F35" s="44">
        <f>'Entity Register'!J18</f>
        <v/>
      </c>
      <c r="G35" s="46">
        <f>IF(E35=0,"n/m",F35/E35)</f>
        <v/>
      </c>
      <c r="H35" s="44">
        <f>'Entity Register'!K18</f>
        <v/>
      </c>
      <c r="I35" s="1" t="n"/>
      <c r="J35" s="1" t="n"/>
      <c r="K35" s="1" t="n"/>
      <c r="L35" s="1" t="n"/>
      <c r="M35" s="1" t="n"/>
      <c r="N35" s="1" t="n"/>
    </row>
    <row r="36">
      <c r="A36" s="1" t="n"/>
      <c r="B36" s="71" t="n">
        <v>14</v>
      </c>
      <c r="C36" s="72">
        <f>'Entity Register'!A12</f>
        <v/>
      </c>
      <c r="D36" s="1" t="inlineStr">
        <is>
          <t>Restaurant</t>
        </is>
      </c>
      <c r="E36" s="44">
        <f>'Entity Register'!C12</f>
        <v/>
      </c>
      <c r="F36" s="44">
        <f>'Entity Register'!J12</f>
        <v/>
      </c>
      <c r="G36" s="46">
        <f>IF(E36=0,"n/m",F36/E36)</f>
        <v/>
      </c>
      <c r="H36" s="44">
        <f>'Entity Register'!K12</f>
        <v/>
      </c>
      <c r="I36" s="1" t="n"/>
      <c r="J36" s="1" t="n"/>
      <c r="K36" s="1" t="n"/>
      <c r="L36" s="1" t="n"/>
      <c r="M36" s="1" t="n"/>
      <c r="N36" s="1" t="n"/>
    </row>
    <row r="37">
      <c r="A37" s="1" t="n"/>
      <c r="B37" s="71" t="n">
        <v>15</v>
      </c>
      <c r="C37" s="72">
        <f>'Entity Register'!A14</f>
        <v/>
      </c>
      <c r="D37" s="1" t="inlineStr">
        <is>
          <t>Restaurant</t>
        </is>
      </c>
      <c r="E37" s="44">
        <f>'Entity Register'!C14</f>
        <v/>
      </c>
      <c r="F37" s="44">
        <f>'Entity Register'!J14</f>
        <v/>
      </c>
      <c r="G37" s="46">
        <f>IF(E37=0,"n/m",F37/E37)</f>
        <v/>
      </c>
      <c r="H37" s="44">
        <f>'Entity Register'!K14</f>
        <v/>
      </c>
      <c r="I37" s="1" t="n"/>
      <c r="J37" s="1" t="n"/>
      <c r="K37" s="1" t="n"/>
      <c r="L37" s="1" t="n"/>
      <c r="M37" s="1" t="n"/>
      <c r="N37" s="1" t="n"/>
    </row>
    <row r="38">
      <c r="A38" s="1" t="n"/>
      <c r="B38" s="71" t="n">
        <v>16</v>
      </c>
      <c r="C38" s="72">
        <f>'Entity Register'!A6</f>
        <v/>
      </c>
      <c r="D38" s="1" t="inlineStr">
        <is>
          <t>Real estate</t>
        </is>
      </c>
      <c r="E38" s="44">
        <f>'Entity Register'!C6</f>
        <v/>
      </c>
      <c r="F38" s="44">
        <f>'Entity Register'!J6</f>
        <v/>
      </c>
      <c r="G38" s="46">
        <f>IF(E38=0,"n/m",F38/E38)</f>
        <v/>
      </c>
      <c r="H38" s="44">
        <f>'Entity Register'!K6</f>
        <v/>
      </c>
      <c r="I38" s="1" t="n"/>
      <c r="J38" s="1" t="n"/>
      <c r="K38" s="1" t="n"/>
      <c r="L38" s="1" t="n"/>
      <c r="M38" s="1" t="n"/>
      <c r="N38" s="1" t="n"/>
    </row>
    <row r="39">
      <c r="A39" s="1" t="n"/>
      <c r="B39" s="47" t="inlineStr">
        <is>
          <t>Revenue = Operating Revenue only. A few HoldCos show $0 here but real profit in Net Income — they earn via intercompany dividends/interest (Investment &amp; Other Income), not operating sales; their EBITDA Margin shows "n/m" rather than a misleading 0%.</t>
        </is>
      </c>
      <c r="M39" s="1" t="n"/>
      <c r="N39" s="1" t="n"/>
    </row>
    <row r="40">
      <c r="A40" s="1" t="n"/>
      <c r="B40" s="1" t="n"/>
      <c r="C40" s="1" t="n"/>
      <c r="D40" s="1" t="n"/>
      <c r="E40" s="1" t="n"/>
      <c r="F40" s="1" t="n"/>
      <c r="G40" s="1" t="n"/>
      <c r="H40" s="1" t="n"/>
      <c r="I40" s="1" t="n"/>
      <c r="J40" s="1" t="n"/>
      <c r="K40" s="1" t="n"/>
      <c r="L40" s="1" t="n"/>
      <c r="M40" s="1" t="n"/>
      <c r="N40" s="1" t="n"/>
    </row>
    <row r="41">
      <c r="A41" s="1" t="n"/>
      <c r="B41" s="1" t="n"/>
      <c r="C41" s="1" t="n"/>
      <c r="D41" s="1" t="n"/>
      <c r="E41" s="1" t="n"/>
      <c r="F41" s="1" t="n"/>
      <c r="G41" s="1" t="n"/>
      <c r="H41" s="1" t="n"/>
      <c r="I41" s="1" t="n"/>
      <c r="J41" s="1" t="n"/>
      <c r="K41" s="1" t="n"/>
      <c r="L41" s="1" t="n"/>
      <c r="M41" s="1" t="n"/>
      <c r="N41" s="1" t="n"/>
    </row>
    <row r="42">
      <c r="A42" s="1" t="n"/>
      <c r="B42" s="1" t="n"/>
      <c r="C42" s="1" t="n"/>
      <c r="D42" s="1" t="n"/>
      <c r="E42" s="1" t="n"/>
      <c r="F42" s="1" t="n"/>
      <c r="G42" s="1" t="n"/>
      <c r="H42" s="1" t="n"/>
      <c r="I42" s="1" t="n"/>
      <c r="J42" s="1" t="n"/>
      <c r="K42" s="1" t="n"/>
      <c r="L42" s="1" t="n"/>
      <c r="M42" s="1" t="n"/>
      <c r="N42" s="1" t="n"/>
    </row>
    <row r="43">
      <c r="A43" s="1" t="n"/>
      <c r="B43" s="1" t="n"/>
      <c r="C43" s="1" t="n"/>
      <c r="D43" s="1" t="n"/>
      <c r="E43" s="1" t="n"/>
      <c r="F43" s="1" t="n"/>
      <c r="G43" s="1" t="n"/>
      <c r="H43" s="1" t="n"/>
      <c r="I43" s="1" t="n"/>
      <c r="J43" s="1" t="n"/>
      <c r="K43" s="1" t="n"/>
      <c r="L43" s="1" t="n"/>
      <c r="M43" s="1" t="n"/>
      <c r="N43" s="1" t="n"/>
    </row>
    <row r="44">
      <c r="A44" s="1" t="n"/>
      <c r="B44" s="1" t="n"/>
      <c r="C44" s="1" t="n"/>
      <c r="D44" s="1" t="n"/>
      <c r="E44" s="1" t="n"/>
      <c r="F44" s="1" t="n"/>
      <c r="G44" s="1" t="n"/>
      <c r="H44" s="1" t="n"/>
      <c r="I44" s="1" t="n"/>
      <c r="J44" s="1" t="n"/>
      <c r="K44" s="1" t="n"/>
      <c r="L44" s="1" t="n"/>
      <c r="M44" s="1" t="n"/>
      <c r="N44" s="1" t="n"/>
    </row>
    <row r="45">
      <c r="A45" s="1" t="n"/>
      <c r="B45" s="1" t="n"/>
      <c r="C45" s="1" t="n"/>
      <c r="D45" s="1" t="n"/>
      <c r="E45" s="1" t="n"/>
      <c r="F45" s="1" t="n"/>
      <c r="G45" s="1" t="n"/>
      <c r="H45" s="1" t="n"/>
      <c r="I45" s="1" t="n"/>
      <c r="J45" s="1" t="n"/>
      <c r="K45" s="1" t="n"/>
      <c r="L45" s="1" t="n"/>
      <c r="M45" s="1" t="n"/>
      <c r="N45" s="1" t="n"/>
    </row>
    <row r="46">
      <c r="A46" s="1" t="n"/>
      <c r="B46" s="1" t="n"/>
      <c r="C46" s="1" t="n"/>
      <c r="D46" s="1" t="n"/>
      <c r="E46" s="1" t="n"/>
      <c r="F46" s="1" t="n"/>
      <c r="G46" s="1" t="n"/>
      <c r="H46" s="1" t="n"/>
      <c r="I46" s="1" t="n"/>
      <c r="J46" s="1" t="n"/>
      <c r="K46" s="1" t="n"/>
      <c r="L46" s="1" t="n"/>
      <c r="M46" s="1" t="n"/>
      <c r="N46" s="1" t="n"/>
    </row>
    <row r="47">
      <c r="A47" s="1" t="n"/>
      <c r="B47" s="1" t="n"/>
      <c r="C47" s="1" t="n"/>
      <c r="D47" s="1" t="n"/>
      <c r="E47" s="1" t="n"/>
      <c r="F47" s="1" t="n"/>
      <c r="G47" s="1" t="n"/>
      <c r="H47" s="1" t="n"/>
      <c r="I47" s="1" t="n"/>
      <c r="J47" s="1" t="n"/>
      <c r="K47" s="1" t="n"/>
      <c r="L47" s="1" t="n"/>
      <c r="M47" s="1" t="n"/>
      <c r="N47" s="1" t="n"/>
    </row>
    <row r="48">
      <c r="A48" s="1" t="n"/>
      <c r="B48" s="1" t="n"/>
      <c r="C48" s="1" t="n"/>
      <c r="D48" s="1" t="n"/>
      <c r="E48" s="1" t="n"/>
      <c r="F48" s="1" t="n"/>
      <c r="G48" s="1" t="n"/>
      <c r="H48" s="1" t="n"/>
      <c r="I48" s="1" t="n"/>
      <c r="J48" s="1" t="n"/>
      <c r="K48" s="1" t="n"/>
      <c r="L48" s="1" t="n"/>
      <c r="M48" s="1" t="n"/>
      <c r="N48" s="1" t="n"/>
    </row>
    <row r="49">
      <c r="A49" s="1" t="n"/>
      <c r="B49" s="1" t="n"/>
      <c r="C49" s="1" t="n"/>
      <c r="D49" s="1" t="n"/>
      <c r="E49" s="1" t="n"/>
      <c r="F49" s="1" t="n"/>
      <c r="G49" s="1" t="n"/>
      <c r="H49" s="1" t="n"/>
      <c r="I49" s="1" t="n"/>
      <c r="J49" s="1" t="n"/>
      <c r="K49" s="1" t="n"/>
      <c r="L49" s="1" t="n"/>
      <c r="M49" s="1" t="n"/>
      <c r="N49" s="1" t="n"/>
    </row>
    <row r="50">
      <c r="A50" s="1" t="n"/>
      <c r="B50" s="1" t="n"/>
      <c r="C50" s="1" t="n"/>
      <c r="D50" s="1" t="n"/>
      <c r="E50" s="1" t="n"/>
      <c r="F50" s="1" t="n"/>
      <c r="G50" s="1" t="n"/>
      <c r="H50" s="1" t="n"/>
      <c r="I50" s="1" t="n"/>
      <c r="J50" s="1" t="n"/>
      <c r="K50" s="1" t="n"/>
      <c r="L50" s="1" t="n"/>
      <c r="M50" s="1" t="n"/>
      <c r="N50" s="1" t="n"/>
    </row>
    <row r="51">
      <c r="A51" s="1" t="n"/>
      <c r="B51" s="1" t="n"/>
      <c r="C51" s="1" t="n"/>
      <c r="D51" s="1" t="n"/>
      <c r="E51" s="1" t="n"/>
      <c r="F51" s="1" t="n"/>
      <c r="G51" s="1" t="n"/>
      <c r="H51" s="1" t="n"/>
      <c r="I51" s="1" t="n"/>
      <c r="J51" s="1" t="n"/>
      <c r="K51" s="1" t="n"/>
      <c r="L51" s="1" t="n"/>
      <c r="M51" s="1" t="n"/>
      <c r="N51" s="1" t="n"/>
    </row>
    <row r="52">
      <c r="A52" s="1" t="n"/>
      <c r="B52" s="1" t="n"/>
      <c r="C52" s="1" t="n"/>
      <c r="D52" s="1" t="n"/>
      <c r="E52" s="1" t="n"/>
      <c r="F52" s="1" t="n"/>
      <c r="G52" s="1" t="n"/>
      <c r="H52" s="1" t="n"/>
      <c r="I52" s="1" t="n"/>
      <c r="J52" s="1" t="n"/>
      <c r="K52" s="1" t="n"/>
      <c r="L52" s="1" t="n"/>
      <c r="M52" s="1" t="n"/>
      <c r="N52" s="1" t="n"/>
    </row>
    <row r="53">
      <c r="A53" s="1" t="n"/>
      <c r="B53" s="1" t="n"/>
      <c r="C53" s="1" t="n"/>
      <c r="D53" s="1" t="n"/>
      <c r="E53" s="1" t="n"/>
      <c r="F53" s="1" t="n"/>
      <c r="G53" s="1" t="n"/>
      <c r="H53" s="1" t="n"/>
      <c r="I53" s="1" t="n"/>
      <c r="J53" s="1" t="n"/>
      <c r="K53" s="1" t="n"/>
      <c r="L53" s="1" t="n"/>
      <c r="M53" s="1" t="n"/>
      <c r="N53" s="1" t="n"/>
    </row>
    <row r="54">
      <c r="A54" s="1" t="n"/>
      <c r="B54" s="1" t="n"/>
      <c r="C54" s="1" t="n"/>
      <c r="D54" s="1" t="n"/>
      <c r="E54" s="1" t="n"/>
      <c r="F54" s="1" t="n"/>
      <c r="G54" s="1" t="n"/>
      <c r="H54" s="1" t="n"/>
      <c r="I54" s="1" t="n"/>
      <c r="J54" s="1" t="n"/>
      <c r="K54" s="1" t="n"/>
      <c r="L54" s="1" t="n"/>
      <c r="M54" s="1" t="n"/>
      <c r="N54" s="1" t="n"/>
    </row>
    <row r="55">
      <c r="A55" s="1" t="n"/>
      <c r="B55" s="1" t="n"/>
      <c r="C55" s="1" t="n"/>
      <c r="D55" s="1" t="n"/>
      <c r="E55" s="1" t="n"/>
      <c r="F55" s="1" t="n"/>
      <c r="G55" s="1" t="n"/>
      <c r="H55" s="1" t="n"/>
      <c r="I55" s="1" t="n"/>
      <c r="J55" s="1" t="n"/>
      <c r="K55" s="1" t="n"/>
      <c r="L55" s="1" t="n"/>
      <c r="M55" s="1" t="n"/>
      <c r="N55" s="1" t="n"/>
    </row>
    <row r="56">
      <c r="A56" s="1" t="n"/>
      <c r="B56" s="1" t="n"/>
      <c r="C56" s="1" t="n"/>
      <c r="D56" s="1" t="n"/>
      <c r="E56" s="1" t="n"/>
      <c r="F56" s="1" t="n"/>
      <c r="G56" s="1" t="n"/>
      <c r="H56" s="1" t="n"/>
      <c r="I56" s="1" t="n"/>
      <c r="J56" s="1" t="n"/>
      <c r="K56" s="1" t="n"/>
      <c r="L56" s="1" t="n"/>
      <c r="M56" s="1" t="n"/>
      <c r="N56" s="1" t="n"/>
    </row>
    <row r="57">
      <c r="A57" s="1" t="n"/>
      <c r="B57" s="1" t="n"/>
      <c r="C57" s="1" t="n"/>
      <c r="D57" s="1" t="n"/>
      <c r="E57" s="1" t="n"/>
      <c r="F57" s="1" t="n"/>
      <c r="G57" s="1" t="n"/>
      <c r="H57" s="1" t="n"/>
      <c r="I57" s="1" t="n"/>
      <c r="J57" s="1" t="n"/>
      <c r="K57" s="1" t="n"/>
      <c r="L57" s="1" t="n"/>
      <c r="M57" s="1" t="n"/>
      <c r="N57" s="1" t="n"/>
    </row>
    <row r="58">
      <c r="A58" s="1" t="n"/>
      <c r="B58" s="1" t="n"/>
      <c r="C58" s="1" t="n"/>
      <c r="D58" s="1" t="n"/>
      <c r="E58" s="1" t="n"/>
      <c r="F58" s="1" t="n"/>
      <c r="G58" s="1" t="n"/>
      <c r="H58" s="1" t="n"/>
      <c r="I58" s="1" t="n"/>
      <c r="J58" s="1" t="n"/>
      <c r="K58" s="1" t="n"/>
      <c r="L58" s="1" t="n"/>
      <c r="M58" s="1" t="n"/>
      <c r="N58" s="1" t="n"/>
    </row>
    <row r="59">
      <c r="A59" s="1" t="n"/>
      <c r="B59" s="1" t="n"/>
      <c r="C59" s="1" t="n"/>
      <c r="D59" s="1" t="n"/>
      <c r="E59" s="1" t="n"/>
      <c r="F59" s="1" t="n"/>
      <c r="G59" s="1" t="n"/>
      <c r="H59" s="1" t="n"/>
      <c r="I59" s="1" t="n"/>
      <c r="J59" s="1" t="n"/>
      <c r="K59" s="1" t="n"/>
      <c r="L59" s="1" t="n"/>
      <c r="M59" s="1" t="n"/>
      <c r="N59" s="1" t="n"/>
    </row>
    <row r="60">
      <c r="A60" s="1" t="n"/>
      <c r="B60" s="1" t="n"/>
      <c r="C60" s="1" t="n"/>
      <c r="D60" s="1" t="n"/>
      <c r="E60" s="1" t="n"/>
      <c r="F60" s="1" t="n"/>
      <c r="G60" s="1" t="n"/>
      <c r="H60" s="1" t="n"/>
      <c r="I60" s="1" t="n"/>
      <c r="J60" s="1" t="n"/>
      <c r="K60" s="1" t="n"/>
      <c r="L60" s="1" t="n"/>
      <c r="M60" s="1" t="n"/>
      <c r="N60" s="1" t="n"/>
    </row>
    <row r="61">
      <c r="A61" s="1" t="n"/>
      <c r="B61" s="1" t="n"/>
      <c r="C61" s="1" t="n"/>
      <c r="D61" s="1" t="n"/>
      <c r="E61" s="1" t="n"/>
      <c r="F61" s="1" t="n"/>
      <c r="G61" s="1" t="n"/>
      <c r="H61" s="1" t="n"/>
      <c r="I61" s="1" t="n"/>
      <c r="J61" s="1" t="n"/>
      <c r="K61" s="1" t="n"/>
      <c r="L61" s="1" t="n"/>
      <c r="M61" s="1" t="n"/>
      <c r="N61" s="1" t="n"/>
    </row>
    <row r="62">
      <c r="A62" s="1" t="n"/>
      <c r="B62" s="1" t="n"/>
      <c r="C62" s="1" t="n"/>
      <c r="D62" s="1" t="n"/>
      <c r="E62" s="1" t="n"/>
      <c r="F62" s="1" t="n"/>
      <c r="G62" s="1" t="n"/>
      <c r="H62" s="1" t="n"/>
      <c r="I62" s="1" t="n"/>
      <c r="J62" s="1" t="n"/>
      <c r="K62" s="1" t="n"/>
      <c r="L62" s="1" t="n"/>
      <c r="M62" s="1" t="n"/>
      <c r="N62" s="1" t="n"/>
    </row>
    <row r="63">
      <c r="A63" s="1" t="n"/>
      <c r="B63" s="20" t="inlineStr">
        <is>
          <t>Business by Category</t>
        </is>
      </c>
      <c r="M63" s="1" t="n"/>
      <c r="N63" s="1" t="n"/>
    </row>
    <row r="64">
      <c r="A64" s="1" t="n"/>
      <c r="B64" s="73">
        <f>"Revenue &amp; profitability mix across every industry in the group, fiscal year "&amp;$K$2</f>
        <v/>
      </c>
      <c r="M64" s="1" t="n"/>
      <c r="N64" s="1" t="n"/>
    </row>
    <row r="65">
      <c r="A65" s="1" t="n"/>
      <c r="B65" s="1" t="n"/>
      <c r="C65" s="1" t="n"/>
      <c r="D65" s="1" t="n"/>
      <c r="E65" s="1" t="n"/>
      <c r="F65" s="1" t="n"/>
      <c r="G65" s="1" t="n"/>
      <c r="H65" s="1" t="n"/>
      <c r="I65" s="1" t="n"/>
      <c r="J65" s="1" t="n"/>
      <c r="K65" s="1" t="n"/>
      <c r="L65" s="1" t="n"/>
      <c r="M65" s="1" t="n"/>
      <c r="N65" s="1" t="n"/>
    </row>
    <row r="66">
      <c r="A66" s="1" t="n"/>
      <c r="B66" s="74" t="inlineStr">
        <is>
          <t>CONSTRUCTION</t>
        </is>
      </c>
      <c r="C66" s="56" t="n"/>
      <c r="D66" s="75" t="inlineStr">
        <is>
          <t>HOTEL</t>
        </is>
      </c>
      <c r="E66" s="56" t="n"/>
      <c r="F66" s="76" t="inlineStr">
        <is>
          <t>INVESTMENTS</t>
        </is>
      </c>
      <c r="G66" s="56" t="n"/>
      <c r="H66" s="77" t="inlineStr">
        <is>
          <t>REAL ESTATE</t>
        </is>
      </c>
      <c r="I66" s="56" t="n"/>
      <c r="J66" s="78" t="inlineStr">
        <is>
          <t>RENTAL</t>
        </is>
      </c>
      <c r="K66" s="56" t="n"/>
      <c r="L66" s="79" t="inlineStr">
        <is>
          <t>RESTAURANT</t>
        </is>
      </c>
      <c r="M66" s="56" t="n"/>
      <c r="N66" s="1" t="n"/>
    </row>
    <row r="67">
      <c r="A67" s="1" t="n"/>
      <c r="B67" s="80">
        <f>-SUMIFS(Fact_TrialBalance[Amount],Fact_TrialBalance[Industry],"Construction",Fact_TrialBalance[Category],"Operating Revenue",Fact_TrialBalance[FiscalYear],$K$2)-SUMIFS(Fact_TrialBalance[Amount],Fact_TrialBalance[Industry],"Construction",Fact_TrialBalance[Category],"Investment &amp; Other Income",Fact_TrialBalance[FiscalYear],$K$2)</f>
        <v/>
      </c>
      <c r="C67" s="56" t="n"/>
      <c r="D67" s="80">
        <f>-SUMIFS(Fact_TrialBalance[Amount],Fact_TrialBalance[Industry],"Hotel",Fact_TrialBalance[Category],"Operating Revenue",Fact_TrialBalance[FiscalYear],$K$2)-SUMIFS(Fact_TrialBalance[Amount],Fact_TrialBalance[Industry],"Hotel",Fact_TrialBalance[Category],"Investment &amp; Other Income",Fact_TrialBalance[FiscalYear],$K$2)</f>
        <v/>
      </c>
      <c r="E67" s="56" t="n"/>
      <c r="F67" s="80">
        <f>-SUMIFS(Fact_TrialBalance[Amount],Fact_TrialBalance[Industry],"Investments",Fact_TrialBalance[Category],"Operating Revenue",Fact_TrialBalance[FiscalYear],$K$2)-SUMIFS(Fact_TrialBalance[Amount],Fact_TrialBalance[Industry],"Investments",Fact_TrialBalance[Category],"Investment &amp; Other Income",Fact_TrialBalance[FiscalYear],$K$2)</f>
        <v/>
      </c>
      <c r="G67" s="56" t="n"/>
      <c r="H67" s="80">
        <f>-SUMIFS(Fact_TrialBalance[Amount],Fact_TrialBalance[Industry],"Real estate",Fact_TrialBalance[Category],"Operating Revenue",Fact_TrialBalance[FiscalYear],$K$2)-SUMIFS(Fact_TrialBalance[Amount],Fact_TrialBalance[Industry],"Real estate",Fact_TrialBalance[Category],"Investment &amp; Other Income",Fact_TrialBalance[FiscalYear],$K$2)</f>
        <v/>
      </c>
      <c r="I67" s="56" t="n"/>
      <c r="J67" s="80">
        <f>-SUMIFS(Fact_TrialBalance[Amount],Fact_TrialBalance[Industry],"Rental",Fact_TrialBalance[Category],"Operating Revenue",Fact_TrialBalance[FiscalYear],$K$2)-SUMIFS(Fact_TrialBalance[Amount],Fact_TrialBalance[Industry],"Rental",Fact_TrialBalance[Category],"Investment &amp; Other Income",Fact_TrialBalance[FiscalYear],$K$2)</f>
        <v/>
      </c>
      <c r="K67" s="56" t="n"/>
      <c r="L67" s="80">
        <f>-SUMIFS(Fact_TrialBalance[Amount],Fact_TrialBalance[Industry],"Restaurant",Fact_TrialBalance[Category],"Operating Revenue",Fact_TrialBalance[FiscalYear],$K$2)-SUMIFS(Fact_TrialBalance[Amount],Fact_TrialBalance[Industry],"Restaurant",Fact_TrialBalance[Category],"Investment &amp; Other Income",Fact_TrialBalance[FiscalYear],$K$2)</f>
        <v/>
      </c>
      <c r="M67" s="56" t="n"/>
      <c r="N67" s="1" t="n"/>
    </row>
    <row r="68">
      <c r="A68" s="1" t="n"/>
      <c r="B68" s="56" t="n"/>
      <c r="C68" s="56" t="n"/>
      <c r="D68" s="56" t="n"/>
      <c r="E68" s="56" t="n"/>
      <c r="F68" s="56" t="n"/>
      <c r="G68" s="56" t="n"/>
      <c r="H68" s="56" t="n"/>
      <c r="I68" s="56" t="n"/>
      <c r="J68" s="56" t="n"/>
      <c r="K68" s="56" t="n"/>
      <c r="L68" s="56" t="n"/>
      <c r="M68" s="56" t="n"/>
      <c r="N68" s="1" t="n"/>
    </row>
    <row r="69">
      <c r="A69" s="1" t="n"/>
      <c r="B69" s="81">
        <f>IFERROR(-(SUMIFS(Fact_TrialBalance[Amount],Fact_TrialBalance[Industry],"Construction",Fact_TrialBalance[FiscalYear],$K$2)-SUMPRODUCT((Fact_TrialBalance[Industry]="Construction")*(Fact_TrialBalance[FiscalYear]=$K$2)*(ISNUMBER(MATCH(Fact_TrialBalance[Category],{"Interest &amp; Financing","Amortization","Income Tax"},0)))*Fact_TrialBalance[Amount]))/B67,"n/m")</f>
        <v/>
      </c>
      <c r="C69" s="56" t="n"/>
      <c r="D69" s="81">
        <f>IFERROR(-(SUMIFS(Fact_TrialBalance[Amount],Fact_TrialBalance[Industry],"Hotel",Fact_TrialBalance[FiscalYear],$K$2)-SUMPRODUCT((Fact_TrialBalance[Industry]="Hotel")*(Fact_TrialBalance[FiscalYear]=$K$2)*(ISNUMBER(MATCH(Fact_TrialBalance[Category],{"Interest &amp; Financing","Amortization","Income Tax"},0)))*Fact_TrialBalance[Amount]))/D67,"n/m")</f>
        <v/>
      </c>
      <c r="E69" s="56" t="n"/>
      <c r="F69" s="81">
        <f>IFERROR(-(SUMIFS(Fact_TrialBalance[Amount],Fact_TrialBalance[Industry],"Investments",Fact_TrialBalance[FiscalYear],$K$2)-SUMPRODUCT((Fact_TrialBalance[Industry]="Investments")*(Fact_TrialBalance[FiscalYear]=$K$2)*(ISNUMBER(MATCH(Fact_TrialBalance[Category],{"Interest &amp; Financing","Amortization","Income Tax"},0)))*Fact_TrialBalance[Amount]))/F67,"n/m")</f>
        <v/>
      </c>
      <c r="G69" s="56" t="n"/>
      <c r="H69" s="81">
        <f>IFERROR(-(SUMIFS(Fact_TrialBalance[Amount],Fact_TrialBalance[Industry],"Real estate",Fact_TrialBalance[FiscalYear],$K$2)-SUMPRODUCT((Fact_TrialBalance[Industry]="Real estate")*(Fact_TrialBalance[FiscalYear]=$K$2)*(ISNUMBER(MATCH(Fact_TrialBalance[Category],{"Interest &amp; Financing","Amortization","Income Tax"},0)))*Fact_TrialBalance[Amount]))/H67,"n/m")</f>
        <v/>
      </c>
      <c r="I69" s="56" t="n"/>
      <c r="J69" s="81">
        <f>IFERROR(-(SUMIFS(Fact_TrialBalance[Amount],Fact_TrialBalance[Industry],"Rental",Fact_TrialBalance[FiscalYear],$K$2)-SUMPRODUCT((Fact_TrialBalance[Industry]="Rental")*(Fact_TrialBalance[FiscalYear]=$K$2)*(ISNUMBER(MATCH(Fact_TrialBalance[Category],{"Interest &amp; Financing","Amortization","Income Tax"},0)))*Fact_TrialBalance[Amount]))/J67,"n/m")</f>
        <v/>
      </c>
      <c r="K69" s="56" t="n"/>
      <c r="L69" s="81">
        <f>IFERROR(-(SUMIFS(Fact_TrialBalance[Amount],Fact_TrialBalance[Industry],"Restaurant",Fact_TrialBalance[FiscalYear],$K$2)-SUMPRODUCT((Fact_TrialBalance[Industry]="Restaurant")*(Fact_TrialBalance[FiscalYear]=$K$2)*(ISNUMBER(MATCH(Fact_TrialBalance[Category],{"Interest &amp; Financing","Amortization","Income Tax"},0)))*Fact_TrialBalance[Amount]))/L67,"n/m")</f>
        <v/>
      </c>
      <c r="M69" s="56" t="n"/>
      <c r="N69" s="1" t="n"/>
    </row>
    <row r="70">
      <c r="A70" s="1" t="n"/>
      <c r="B70" s="1" t="n"/>
      <c r="C70" s="1" t="n"/>
      <c r="D70" s="1" t="n"/>
      <c r="E70" s="1" t="n"/>
      <c r="F70" s="1" t="n"/>
      <c r="G70" s="1" t="n"/>
      <c r="H70" s="1" t="n"/>
      <c r="I70" s="1" t="n"/>
      <c r="J70" s="1" t="n"/>
      <c r="K70" s="1" t="n"/>
      <c r="L70" s="1" t="n"/>
      <c r="M70" s="1" t="n"/>
      <c r="N70" s="1" t="n"/>
    </row>
    <row r="71">
      <c r="A71" s="1" t="n"/>
      <c r="B71" s="1" t="n"/>
      <c r="C71" s="1" t="n"/>
      <c r="D71" s="1" t="n"/>
      <c r="E71" s="1" t="n"/>
      <c r="F71" s="1" t="n"/>
      <c r="G71" s="1" t="n"/>
      <c r="H71" s="1" t="n"/>
      <c r="I71" s="1" t="n"/>
      <c r="J71" s="1" t="n"/>
      <c r="K71" s="1" t="n"/>
      <c r="L71" s="1" t="n"/>
      <c r="M71" s="1" t="n"/>
      <c r="N71" s="1" t="n"/>
    </row>
    <row r="72">
      <c r="A72" s="1" t="n"/>
      <c r="B72" s="1" t="n"/>
      <c r="C72" s="45" t="inlineStr">
        <is>
          <t>Industry</t>
        </is>
      </c>
      <c r="D72" s="1" t="n"/>
      <c r="E72" s="45" t="inlineStr">
        <is>
          <t>Revenue</t>
        </is>
      </c>
      <c r="F72" s="1" t="n"/>
      <c r="G72" s="1" t="n"/>
      <c r="H72" s="1" t="n"/>
      <c r="I72" s="1" t="n"/>
      <c r="J72" s="1" t="n"/>
      <c r="K72" s="1" t="n"/>
      <c r="L72" s="1" t="n"/>
      <c r="M72" s="1" t="n"/>
      <c r="N72" s="1" t="n"/>
    </row>
    <row r="73">
      <c r="A73" s="1" t="n"/>
      <c r="B73" s="1" t="n"/>
      <c r="C73" s="1" t="inlineStr">
        <is>
          <t>Construction</t>
        </is>
      </c>
      <c r="D73" s="1" t="n"/>
      <c r="E73" s="44">
        <f>B67</f>
        <v/>
      </c>
      <c r="F73" s="1" t="n"/>
      <c r="G73" s="1" t="n"/>
      <c r="H73" s="1" t="n"/>
      <c r="I73" s="1" t="n"/>
      <c r="J73" s="1" t="n"/>
      <c r="K73" s="1" t="n"/>
      <c r="L73" s="1" t="n"/>
      <c r="M73" s="1" t="n"/>
      <c r="N73" s="1" t="n"/>
    </row>
    <row r="74">
      <c r="A74" s="1" t="n"/>
      <c r="B74" s="1" t="n"/>
      <c r="C74" s="1" t="inlineStr">
        <is>
          <t>Hotel</t>
        </is>
      </c>
      <c r="D74" s="1" t="n"/>
      <c r="E74" s="44">
        <f>D67</f>
        <v/>
      </c>
      <c r="F74" s="1" t="n"/>
      <c r="G74" s="1" t="n"/>
      <c r="H74" s="1" t="n"/>
      <c r="I74" s="1" t="n"/>
      <c r="J74" s="1" t="n"/>
      <c r="K74" s="1" t="n"/>
      <c r="L74" s="1" t="n"/>
      <c r="M74" s="1" t="n"/>
      <c r="N74" s="1" t="n"/>
    </row>
    <row r="75">
      <c r="A75" s="1" t="n"/>
      <c r="B75" s="1" t="n"/>
      <c r="C75" s="1" t="inlineStr">
        <is>
          <t>Investments</t>
        </is>
      </c>
      <c r="D75" s="1" t="n"/>
      <c r="E75" s="44">
        <f>F67</f>
        <v/>
      </c>
      <c r="F75" s="1" t="n"/>
      <c r="G75" s="1" t="n"/>
      <c r="H75" s="1" t="n"/>
      <c r="I75" s="1" t="n"/>
      <c r="J75" s="1" t="n"/>
      <c r="K75" s="1" t="n"/>
      <c r="L75" s="1" t="n"/>
      <c r="M75" s="1" t="n"/>
      <c r="N75" s="1" t="n"/>
    </row>
    <row r="76">
      <c r="A76" s="1" t="n"/>
      <c r="B76" s="1" t="n"/>
      <c r="C76" s="1" t="inlineStr">
        <is>
          <t>Real estate</t>
        </is>
      </c>
      <c r="D76" s="1" t="n"/>
      <c r="E76" s="44">
        <f>H67</f>
        <v/>
      </c>
      <c r="F76" s="1" t="n"/>
      <c r="G76" s="1" t="n"/>
      <c r="H76" s="1" t="n"/>
      <c r="I76" s="1" t="n"/>
      <c r="J76" s="1" t="n"/>
      <c r="K76" s="1" t="n"/>
      <c r="L76" s="1" t="n"/>
      <c r="M76" s="1" t="n"/>
      <c r="N76" s="1" t="n"/>
    </row>
    <row r="77">
      <c r="A77" s="1" t="n"/>
      <c r="B77" s="1" t="n"/>
      <c r="C77" s="1" t="inlineStr">
        <is>
          <t>Rental</t>
        </is>
      </c>
      <c r="D77" s="1" t="n"/>
      <c r="E77" s="44">
        <f>J67</f>
        <v/>
      </c>
      <c r="F77" s="1" t="n"/>
      <c r="G77" s="1" t="n"/>
      <c r="H77" s="1" t="n"/>
      <c r="I77" s="1" t="n"/>
      <c r="J77" s="1" t="n"/>
      <c r="K77" s="1" t="n"/>
      <c r="L77" s="1" t="n"/>
      <c r="M77" s="1" t="n"/>
      <c r="N77" s="1" t="n"/>
    </row>
    <row r="78">
      <c r="A78" s="1" t="n"/>
      <c r="B78" s="1" t="n"/>
      <c r="C78" s="1" t="inlineStr">
        <is>
          <t>Restaurant</t>
        </is>
      </c>
      <c r="D78" s="1" t="n"/>
      <c r="E78" s="44">
        <f>L67</f>
        <v/>
      </c>
      <c r="F78" s="1" t="n"/>
      <c r="G78" s="1" t="n"/>
      <c r="H78" s="1" t="n"/>
      <c r="I78" s="1" t="n"/>
      <c r="J78" s="1" t="n"/>
      <c r="K78" s="1" t="n"/>
      <c r="L78" s="1" t="n"/>
      <c r="M78" s="1" t="n"/>
      <c r="N78" s="1" t="n"/>
    </row>
    <row r="79">
      <c r="A79" s="1" t="n"/>
      <c r="B79" s="1" t="n"/>
      <c r="C79" s="1" t="n"/>
      <c r="D79" s="1" t="n"/>
      <c r="E79" s="1" t="n"/>
      <c r="F79" s="1" t="n"/>
      <c r="G79" s="1" t="n"/>
      <c r="H79" s="1" t="n"/>
      <c r="I79" s="1" t="n"/>
      <c r="J79" s="1" t="n"/>
      <c r="K79" s="1" t="n"/>
      <c r="L79" s="1" t="n"/>
      <c r="M79" s="1" t="n"/>
      <c r="N79" s="1" t="n"/>
    </row>
    <row r="80">
      <c r="A80" s="1" t="n"/>
      <c r="B80" s="1" t="n"/>
      <c r="C80" s="1" t="n"/>
      <c r="D80" s="1" t="n"/>
      <c r="E80" s="1" t="n"/>
      <c r="F80" s="1" t="n"/>
      <c r="G80" s="1" t="n"/>
      <c r="H80" s="1" t="n"/>
      <c r="I80" s="1" t="n"/>
      <c r="J80" s="1" t="n"/>
      <c r="K80" s="1" t="n"/>
      <c r="L80" s="1" t="n"/>
      <c r="M80" s="1" t="n"/>
      <c r="N80" s="1" t="n"/>
    </row>
    <row r="81">
      <c r="A81" s="1" t="n"/>
      <c r="B81" s="1" t="n"/>
      <c r="C81" s="1" t="n"/>
      <c r="D81" s="1" t="n"/>
      <c r="E81" s="1" t="n"/>
      <c r="F81" s="1" t="n"/>
      <c r="G81" s="1" t="n"/>
      <c r="H81" s="1" t="n"/>
      <c r="I81" s="1" t="n"/>
      <c r="J81" s="1" t="n"/>
      <c r="K81" s="1" t="n"/>
      <c r="L81" s="1" t="n"/>
      <c r="M81" s="1" t="n"/>
      <c r="N81" s="1" t="n"/>
    </row>
    <row r="82">
      <c r="A82" s="1" t="n"/>
      <c r="B82" s="1" t="n"/>
      <c r="C82" s="1" t="n"/>
      <c r="D82" s="1" t="n"/>
      <c r="E82" s="1" t="n"/>
      <c r="F82" s="1" t="n"/>
      <c r="G82" s="1" t="n"/>
      <c r="H82" s="1" t="n"/>
      <c r="I82" s="1" t="n"/>
      <c r="J82" s="1" t="n"/>
      <c r="K82" s="1" t="n"/>
      <c r="L82" s="1" t="n"/>
      <c r="M82" s="1" t="n"/>
      <c r="N82" s="1" t="n"/>
    </row>
    <row r="83">
      <c r="A83" s="1" t="n"/>
      <c r="B83" s="1" t="n"/>
      <c r="C83" s="1" t="n"/>
      <c r="D83" s="1" t="n"/>
      <c r="E83" s="1" t="n"/>
      <c r="F83" s="1" t="n"/>
      <c r="G83" s="1" t="n"/>
      <c r="H83" s="1" t="n"/>
      <c r="I83" s="1" t="n"/>
      <c r="J83" s="1" t="n"/>
      <c r="K83" s="1" t="n"/>
      <c r="L83" s="1" t="n"/>
      <c r="M83" s="1" t="n"/>
      <c r="N83" s="1" t="n"/>
    </row>
    <row r="84">
      <c r="A84" s="1" t="n"/>
      <c r="B84" s="1" t="n"/>
      <c r="C84" s="1" t="n"/>
      <c r="D84" s="1" t="n"/>
      <c r="E84" s="1" t="n"/>
      <c r="F84" s="1" t="n"/>
      <c r="G84" s="1" t="n"/>
      <c r="H84" s="1" t="n"/>
      <c r="I84" s="1" t="n"/>
      <c r="J84" s="1" t="n"/>
      <c r="K84" s="1" t="n"/>
      <c r="L84" s="1" t="n"/>
      <c r="M84" s="1" t="n"/>
      <c r="N84" s="1" t="n"/>
    </row>
    <row r="85">
      <c r="A85" s="1" t="n"/>
      <c r="B85" s="1" t="n"/>
      <c r="C85" s="1" t="n"/>
      <c r="D85" s="1" t="n"/>
      <c r="E85" s="1" t="n"/>
      <c r="F85" s="1" t="n"/>
      <c r="G85" s="1" t="n"/>
      <c r="H85" s="1" t="n"/>
      <c r="I85" s="1" t="n"/>
      <c r="J85" s="1" t="n"/>
      <c r="K85" s="1" t="n"/>
      <c r="L85" s="1" t="n"/>
      <c r="M85" s="1" t="n"/>
      <c r="N85" s="1" t="n"/>
    </row>
    <row r="86">
      <c r="A86" s="1" t="n"/>
      <c r="B86" s="1" t="n"/>
      <c r="C86" s="1" t="n"/>
      <c r="D86" s="1" t="n"/>
      <c r="E86" s="1" t="n"/>
      <c r="F86" s="1" t="n"/>
      <c r="G86" s="1" t="n"/>
      <c r="H86" s="1" t="n"/>
      <c r="I86" s="1" t="n"/>
      <c r="J86" s="1" t="n"/>
      <c r="K86" s="1" t="n"/>
      <c r="L86" s="1" t="n"/>
      <c r="M86" s="1" t="n"/>
      <c r="N86" s="1" t="n"/>
    </row>
    <row r="87">
      <c r="A87" s="1" t="n"/>
      <c r="B87" s="1" t="n"/>
      <c r="C87" s="1" t="n"/>
      <c r="D87" s="1" t="n"/>
      <c r="E87" s="1" t="n"/>
      <c r="F87" s="1" t="n"/>
      <c r="G87" s="1" t="n"/>
      <c r="H87" s="1" t="n"/>
      <c r="I87" s="1" t="n"/>
      <c r="J87" s="1" t="n"/>
      <c r="K87" s="1" t="n"/>
      <c r="L87" s="1" t="n"/>
      <c r="M87" s="1" t="n"/>
      <c r="N87" s="1" t="n"/>
    </row>
    <row r="88">
      <c r="A88" s="1" t="n"/>
      <c r="B88" s="1" t="n"/>
      <c r="C88" s="1" t="n"/>
      <c r="D88" s="1" t="n"/>
      <c r="E88" s="1" t="n"/>
      <c r="F88" s="1" t="n"/>
      <c r="G88" s="1" t="n"/>
      <c r="H88" s="1" t="n"/>
      <c r="I88" s="1" t="n"/>
      <c r="J88" s="1" t="n"/>
      <c r="K88" s="1" t="n"/>
      <c r="L88" s="1" t="n"/>
      <c r="M88" s="1" t="n"/>
      <c r="N88" s="1" t="n"/>
    </row>
    <row r="89">
      <c r="A89" s="1" t="n"/>
      <c r="B89" s="1" t="n"/>
      <c r="C89" s="1" t="n"/>
      <c r="D89" s="1" t="n"/>
      <c r="E89" s="1" t="n"/>
      <c r="F89" s="1" t="n"/>
      <c r="G89" s="1" t="n"/>
      <c r="H89" s="1" t="n"/>
      <c r="I89" s="1" t="n"/>
      <c r="J89" s="1" t="n"/>
      <c r="K89" s="1" t="n"/>
      <c r="L89" s="1" t="n"/>
      <c r="M89" s="1" t="n"/>
      <c r="N89" s="1" t="n"/>
    </row>
    <row r="90">
      <c r="A90" s="1" t="n"/>
      <c r="B90" s="1" t="n"/>
      <c r="C90" s="1" t="n"/>
      <c r="D90" s="1" t="n"/>
      <c r="E90" s="1" t="n"/>
      <c r="F90" s="1" t="n"/>
      <c r="G90" s="1" t="n"/>
      <c r="H90" s="1" t="n"/>
      <c r="I90" s="1" t="n"/>
      <c r="J90" s="1" t="n"/>
      <c r="K90" s="1" t="n"/>
      <c r="L90" s="1" t="n"/>
      <c r="M90" s="1" t="n"/>
      <c r="N90" s="1" t="n"/>
    </row>
    <row r="91">
      <c r="A91" s="1" t="n"/>
      <c r="B91" s="1" t="n"/>
      <c r="C91" s="1" t="n"/>
      <c r="D91" s="1" t="n"/>
      <c r="E91" s="1" t="n"/>
      <c r="F91" s="1" t="n"/>
      <c r="G91" s="1" t="n"/>
      <c r="H91" s="1" t="n"/>
      <c r="I91" s="1" t="n"/>
      <c r="J91" s="1" t="n"/>
      <c r="K91" s="1" t="n"/>
      <c r="L91" s="1" t="n"/>
      <c r="M91" s="1" t="n"/>
      <c r="N91" s="1" t="n"/>
    </row>
    <row r="92">
      <c r="A92" s="1" t="n"/>
      <c r="B92" s="1" t="n"/>
      <c r="C92" s="1" t="n"/>
      <c r="D92" s="1" t="n"/>
      <c r="E92" s="1" t="n"/>
      <c r="F92" s="1" t="n"/>
      <c r="G92" s="1" t="n"/>
      <c r="H92" s="1" t="n"/>
      <c r="I92" s="1" t="n"/>
      <c r="J92" s="1" t="n"/>
      <c r="K92" s="1" t="n"/>
      <c r="L92" s="1" t="n"/>
      <c r="M92" s="1" t="n"/>
      <c r="N92" s="1" t="n"/>
    </row>
    <row r="93">
      <c r="A93" s="1" t="n"/>
      <c r="B93" s="1" t="n"/>
      <c r="C93" s="1" t="n"/>
      <c r="D93" s="1" t="n"/>
      <c r="E93" s="1" t="n"/>
      <c r="F93" s="1" t="n"/>
      <c r="G93" s="1" t="n"/>
      <c r="H93" s="1" t="n"/>
      <c r="I93" s="1" t="n"/>
      <c r="J93" s="1" t="n"/>
      <c r="K93" s="1" t="n"/>
      <c r="L93" s="1" t="n"/>
      <c r="M93" s="1" t="n"/>
      <c r="N93" s="1" t="n"/>
    </row>
    <row r="94">
      <c r="A94" s="1" t="n"/>
      <c r="B94" s="1" t="n"/>
      <c r="C94" s="1" t="n"/>
      <c r="D94" s="1" t="n"/>
      <c r="E94" s="1" t="n"/>
      <c r="F94" s="1" t="n"/>
      <c r="G94" s="1" t="n"/>
      <c r="H94" s="1" t="n"/>
      <c r="I94" s="1" t="n"/>
      <c r="J94" s="1" t="n"/>
      <c r="K94" s="1" t="n"/>
      <c r="L94" s="1" t="n"/>
      <c r="M94" s="1" t="n"/>
      <c r="N94" s="1" t="n"/>
    </row>
    <row r="95">
      <c r="A95" s="1" t="n"/>
      <c r="B95" s="1" t="n"/>
      <c r="C95" s="1" t="n"/>
      <c r="D95" s="1" t="n"/>
      <c r="E95" s="1" t="n"/>
      <c r="F95" s="1" t="n"/>
      <c r="G95" s="1" t="n"/>
      <c r="H95" s="1" t="n"/>
      <c r="I95" s="1" t="n"/>
      <c r="J95" s="1" t="n"/>
      <c r="K95" s="1" t="n"/>
      <c r="L95" s="1" t="n"/>
      <c r="M95" s="1" t="n"/>
      <c r="N95" s="1" t="n"/>
    </row>
    <row r="96">
      <c r="A96" s="1" t="n"/>
      <c r="B96" s="1" t="n"/>
      <c r="C96" s="1" t="n"/>
      <c r="D96" s="1" t="n"/>
      <c r="E96" s="1" t="n"/>
      <c r="F96" s="1" t="n"/>
      <c r="G96" s="1" t="n"/>
      <c r="H96" s="1" t="n"/>
      <c r="I96" s="1" t="n"/>
      <c r="J96" s="1" t="n"/>
      <c r="K96" s="1" t="n"/>
      <c r="L96" s="1" t="n"/>
      <c r="M96" s="1" t="n"/>
      <c r="N96" s="1" t="n"/>
    </row>
    <row r="97">
      <c r="A97" s="1" t="n"/>
      <c r="B97" s="1" t="n"/>
      <c r="C97" s="1" t="n"/>
      <c r="D97" s="1" t="n"/>
      <c r="E97" s="1" t="n"/>
      <c r="F97" s="1" t="n"/>
      <c r="G97" s="1" t="n"/>
      <c r="H97" s="1" t="n"/>
      <c r="I97" s="1" t="n"/>
      <c r="J97" s="1" t="n"/>
      <c r="K97" s="1" t="n"/>
      <c r="L97" s="1" t="n"/>
      <c r="M97" s="1" t="n"/>
      <c r="N97" s="1" t="n"/>
    </row>
    <row r="98">
      <c r="A98" s="1" t="n"/>
      <c r="B98" s="1" t="n"/>
      <c r="C98" s="1" t="n"/>
      <c r="D98" s="1" t="n"/>
      <c r="E98" s="1" t="n"/>
      <c r="F98" s="1" t="n"/>
      <c r="G98" s="1" t="n"/>
      <c r="H98" s="1" t="n"/>
      <c r="I98" s="1" t="n"/>
      <c r="J98" s="1" t="n"/>
      <c r="K98" s="1" t="n"/>
      <c r="L98" s="1" t="n"/>
      <c r="M98" s="1" t="n"/>
      <c r="N98" s="1" t="n"/>
    </row>
    <row r="99">
      <c r="A99" s="1" t="n"/>
      <c r="B99" s="1" t="n"/>
      <c r="C99" s="1" t="n"/>
      <c r="D99" s="1" t="n"/>
      <c r="E99" s="1" t="n"/>
      <c r="F99" s="1" t="n"/>
      <c r="G99" s="1" t="n"/>
      <c r="H99" s="1" t="n"/>
      <c r="I99" s="1" t="n"/>
      <c r="J99" s="1" t="n"/>
      <c r="K99" s="1" t="n"/>
      <c r="L99" s="1" t="n"/>
      <c r="M99" s="1" t="n"/>
      <c r="N99" s="1" t="n"/>
    </row>
    <row r="100">
      <c r="A100" s="1" t="n"/>
      <c r="B100" s="1" t="n"/>
      <c r="C100" s="1" t="n"/>
      <c r="D100" s="1" t="n"/>
      <c r="E100" s="1" t="n"/>
      <c r="F100" s="1" t="n"/>
      <c r="G100" s="1" t="n"/>
      <c r="H100" s="1" t="n"/>
      <c r="I100" s="1" t="n"/>
      <c r="J100" s="1" t="n"/>
      <c r="K100" s="1" t="n"/>
      <c r="L100" s="1" t="n"/>
      <c r="M100" s="1" t="n"/>
      <c r="N100" s="1" t="n"/>
    </row>
    <row r="101">
      <c r="A101" s="1" t="n"/>
      <c r="B101" s="1" t="n"/>
      <c r="C101" s="1" t="n"/>
      <c r="D101" s="1" t="n"/>
      <c r="E101" s="1" t="n"/>
      <c r="F101" s="1" t="n"/>
      <c r="G101" s="1" t="n"/>
      <c r="H101" s="1" t="n"/>
      <c r="I101" s="1" t="n"/>
      <c r="J101" s="1" t="n"/>
      <c r="K101" s="1" t="n"/>
      <c r="L101" s="1" t="n"/>
      <c r="M101" s="1" t="n"/>
      <c r="N101" s="1" t="n"/>
    </row>
    <row r="102">
      <c r="A102" s="1" t="n"/>
      <c r="B102" s="1" t="n"/>
      <c r="C102" s="1" t="n"/>
      <c r="D102" s="1" t="n"/>
      <c r="E102" s="1" t="n"/>
      <c r="F102" s="1" t="n"/>
      <c r="G102" s="1" t="n"/>
      <c r="H102" s="1" t="n"/>
      <c r="I102" s="1" t="n"/>
      <c r="J102" s="1" t="n"/>
      <c r="K102" s="1" t="n"/>
      <c r="L102" s="1" t="n"/>
      <c r="M102" s="1" t="n"/>
      <c r="N102" s="1" t="n"/>
    </row>
    <row r="103">
      <c r="A103" s="1" t="n"/>
      <c r="B103" s="1" t="n"/>
      <c r="C103" s="1" t="n"/>
      <c r="D103" s="1" t="n"/>
      <c r="E103" s="1" t="n"/>
      <c r="F103" s="1" t="n"/>
      <c r="G103" s="1" t="n"/>
      <c r="H103" s="1" t="n"/>
      <c r="I103" s="1" t="n"/>
      <c r="J103" s="1" t="n"/>
      <c r="K103" s="1" t="n"/>
      <c r="L103" s="1" t="n"/>
      <c r="M103" s="1" t="n"/>
      <c r="N103" s="1" t="n"/>
    </row>
    <row r="104">
      <c r="A104" s="1" t="n"/>
      <c r="B104" s="1" t="n"/>
      <c r="C104" s="1" t="n"/>
      <c r="D104" s="1" t="n"/>
      <c r="E104" s="1" t="n"/>
      <c r="F104" s="1" t="n"/>
      <c r="G104" s="1" t="n"/>
      <c r="H104" s="1" t="n"/>
      <c r="I104" s="1" t="n"/>
      <c r="J104" s="1" t="n"/>
      <c r="K104" s="1" t="n"/>
      <c r="L104" s="1" t="n"/>
      <c r="M104" s="1" t="n"/>
      <c r="N104" s="1" t="n"/>
    </row>
    <row r="105">
      <c r="A105" s="1" t="n"/>
      <c r="B105" s="1" t="n"/>
      <c r="C105" s="1" t="n"/>
      <c r="D105" s="1" t="n"/>
      <c r="E105" s="1" t="n"/>
      <c r="F105" s="1" t="n"/>
      <c r="G105" s="1" t="n"/>
      <c r="H105" s="1" t="n"/>
      <c r="I105" s="1" t="n"/>
      <c r="J105" s="1" t="n"/>
      <c r="K105" s="1" t="n"/>
      <c r="L105" s="1" t="n"/>
      <c r="M105" s="1" t="n"/>
      <c r="N105" s="1" t="n"/>
    </row>
    <row r="106">
      <c r="A106" s="1" t="n"/>
      <c r="B106" s="1" t="n"/>
      <c r="C106" s="1" t="n"/>
      <c r="D106" s="1" t="n"/>
      <c r="E106" s="1" t="n"/>
      <c r="F106" s="1" t="n"/>
      <c r="G106" s="1" t="n"/>
      <c r="H106" s="1" t="n"/>
      <c r="I106" s="1" t="n"/>
      <c r="J106" s="1" t="n"/>
      <c r="K106" s="1" t="n"/>
      <c r="L106" s="1" t="n"/>
      <c r="M106" s="1" t="n"/>
      <c r="N106" s="1" t="n"/>
    </row>
    <row r="107">
      <c r="A107" s="1" t="n"/>
      <c r="B107" s="1" t="n"/>
      <c r="C107" s="1" t="n"/>
      <c r="D107" s="1" t="n"/>
      <c r="E107" s="1" t="n"/>
      <c r="F107" s="1" t="n"/>
      <c r="G107" s="1" t="n"/>
      <c r="H107" s="1" t="n"/>
      <c r="I107" s="1" t="n"/>
      <c r="J107" s="1" t="n"/>
      <c r="K107" s="1" t="n"/>
      <c r="L107" s="1" t="n"/>
      <c r="M107" s="1" t="n"/>
      <c r="N107" s="1" t="n"/>
    </row>
    <row r="108">
      <c r="A108" s="1" t="n"/>
      <c r="B108" s="1" t="n"/>
      <c r="C108" s="1" t="n"/>
      <c r="D108" s="1" t="n"/>
      <c r="E108" s="1" t="n"/>
      <c r="F108" s="1" t="n"/>
      <c r="G108" s="1" t="n"/>
      <c r="H108" s="1" t="n"/>
      <c r="I108" s="1" t="n"/>
      <c r="J108" s="1" t="n"/>
      <c r="K108" s="1" t="n"/>
      <c r="L108" s="1" t="n"/>
      <c r="M108" s="1" t="n"/>
      <c r="N108" s="1" t="n"/>
    </row>
    <row r="109">
      <c r="A109" s="1" t="n"/>
      <c r="B109" s="1" t="n"/>
      <c r="C109" s="1" t="n"/>
      <c r="D109" s="1" t="n"/>
      <c r="E109" s="1" t="n"/>
      <c r="F109" s="1" t="n"/>
      <c r="G109" s="1" t="n"/>
      <c r="H109" s="1" t="n"/>
      <c r="I109" s="1" t="n"/>
      <c r="J109" s="1" t="n"/>
      <c r="K109" s="1" t="n"/>
      <c r="L109" s="1" t="n"/>
      <c r="M109" s="1" t="n"/>
      <c r="N109" s="1" t="n"/>
    </row>
    <row r="110">
      <c r="A110" s="1" t="n"/>
      <c r="B110" s="1" t="n"/>
      <c r="C110" s="1" t="n"/>
      <c r="D110" s="1" t="n"/>
      <c r="E110" s="1" t="n"/>
      <c r="F110" s="1" t="n"/>
      <c r="G110" s="1" t="n"/>
      <c r="H110" s="1" t="n"/>
      <c r="I110" s="1" t="n"/>
      <c r="J110" s="1" t="n"/>
      <c r="K110" s="1" t="n"/>
      <c r="L110" s="1" t="n"/>
      <c r="M110" s="1" t="n"/>
      <c r="N110" s="1" t="n"/>
    </row>
    <row r="111">
      <c r="A111" s="1" t="n"/>
      <c r="B111" s="1" t="n"/>
      <c r="C111" s="1" t="n"/>
      <c r="D111" s="1" t="n"/>
      <c r="E111" s="1" t="n"/>
      <c r="F111" s="1" t="n"/>
      <c r="G111" s="1" t="n"/>
      <c r="H111" s="1" t="n"/>
      <c r="I111" s="1" t="n"/>
      <c r="J111" s="1" t="n"/>
      <c r="K111" s="1" t="n"/>
      <c r="L111" s="1" t="n"/>
      <c r="M111" s="1" t="n"/>
      <c r="N111" s="1" t="n"/>
    </row>
    <row r="112">
      <c r="A112" s="1" t="n"/>
      <c r="B112" s="1" t="n"/>
      <c r="C112" s="1" t="n"/>
      <c r="D112" s="1" t="n"/>
      <c r="E112" s="1" t="n"/>
      <c r="F112" s="1" t="n"/>
      <c r="G112" s="1" t="n"/>
      <c r="H112" s="1" t="n"/>
      <c r="I112" s="1" t="n"/>
      <c r="J112" s="1" t="n"/>
      <c r="K112" s="1" t="n"/>
      <c r="L112" s="1" t="n"/>
      <c r="M112" s="1" t="n"/>
      <c r="N112" s="1" t="n"/>
    </row>
    <row r="113">
      <c r="A113" s="1" t="n"/>
      <c r="B113" s="1" t="n"/>
      <c r="C113" s="1" t="n"/>
      <c r="D113" s="1" t="n"/>
      <c r="E113" s="1" t="n"/>
      <c r="F113" s="1" t="n"/>
      <c r="G113" s="1" t="n"/>
      <c r="H113" s="1" t="n"/>
      <c r="I113" s="1" t="n"/>
      <c r="J113" s="1" t="n"/>
      <c r="K113" s="1" t="n"/>
      <c r="L113" s="1" t="n"/>
      <c r="M113" s="1" t="n"/>
      <c r="N113" s="1" t="n"/>
    </row>
    <row r="114">
      <c r="A114" s="1" t="n"/>
      <c r="B114" s="1" t="n"/>
      <c r="C114" s="1" t="n"/>
      <c r="D114" s="1" t="n"/>
      <c r="E114" s="1" t="n"/>
      <c r="F114" s="1" t="n"/>
      <c r="G114" s="1" t="n"/>
      <c r="H114" s="1" t="n"/>
      <c r="I114" s="1" t="n"/>
      <c r="J114" s="1" t="n"/>
      <c r="K114" s="1" t="n"/>
      <c r="L114" s="1" t="n"/>
      <c r="M114" s="1" t="n"/>
      <c r="N114" s="1" t="n"/>
    </row>
    <row r="115">
      <c r="A115" s="1" t="n"/>
      <c r="B115" s="1" t="n"/>
      <c r="C115" s="1" t="n"/>
      <c r="D115" s="1" t="n"/>
      <c r="E115" s="1" t="n"/>
      <c r="F115" s="1" t="n"/>
      <c r="G115" s="1" t="n"/>
      <c r="H115" s="1" t="n"/>
      <c r="I115" s="1" t="n"/>
      <c r="J115" s="1" t="n"/>
      <c r="K115" s="1" t="n"/>
      <c r="L115" s="1" t="n"/>
      <c r="M115" s="1" t="n"/>
      <c r="N115" s="1" t="n"/>
    </row>
    <row r="116">
      <c r="A116" s="1" t="n"/>
      <c r="B116" s="1" t="n"/>
      <c r="C116" s="1" t="n"/>
      <c r="D116" s="1" t="n"/>
      <c r="E116" s="1" t="n"/>
      <c r="F116" s="1" t="n"/>
      <c r="G116" s="1" t="n"/>
      <c r="H116" s="1" t="n"/>
      <c r="I116" s="1" t="n"/>
      <c r="J116" s="1" t="n"/>
      <c r="K116" s="1" t="n"/>
      <c r="L116" s="1" t="n"/>
      <c r="M116" s="1" t="n"/>
      <c r="N116" s="1" t="n"/>
    </row>
    <row r="117">
      <c r="A117" s="1" t="n"/>
      <c r="B117" s="1" t="n"/>
      <c r="C117" s="1" t="n"/>
      <c r="D117" s="1" t="n"/>
      <c r="E117" s="1" t="n"/>
      <c r="F117" s="1" t="n"/>
      <c r="G117" s="1" t="n"/>
      <c r="H117" s="1" t="n"/>
      <c r="I117" s="1" t="n"/>
      <c r="J117" s="1" t="n"/>
      <c r="K117" s="1" t="n"/>
      <c r="L117" s="1" t="n"/>
      <c r="M117" s="1" t="n"/>
      <c r="N117" s="1" t="n"/>
    </row>
    <row r="118">
      <c r="A118" s="1" t="n"/>
      <c r="B118" s="1" t="n"/>
      <c r="C118" s="1" t="n"/>
      <c r="D118" s="1" t="n"/>
      <c r="E118" s="1" t="n"/>
      <c r="F118" s="1" t="n"/>
      <c r="G118" s="1" t="n"/>
      <c r="H118" s="1" t="n"/>
      <c r="I118" s="1" t="n"/>
      <c r="J118" s="1" t="n"/>
      <c r="K118" s="1" t="n"/>
      <c r="L118" s="1" t="n"/>
      <c r="M118" s="1" t="n"/>
      <c r="N118" s="1" t="n"/>
    </row>
    <row r="119">
      <c r="A119" s="1" t="n"/>
      <c r="B119" s="1" t="n"/>
      <c r="C119" s="1" t="n"/>
      <c r="D119" s="1" t="n"/>
      <c r="E119" s="1" t="n"/>
      <c r="F119" s="1" t="n"/>
      <c r="G119" s="1" t="n"/>
      <c r="H119" s="1" t="n"/>
      <c r="I119" s="1" t="n"/>
      <c r="J119" s="1" t="n"/>
      <c r="K119" s="1" t="n"/>
      <c r="L119" s="1" t="n"/>
      <c r="M119" s="1" t="n"/>
      <c r="N119" s="1" t="n"/>
    </row>
    <row r="120">
      <c r="A120" s="1" t="n"/>
      <c r="B120" s="1" t="n"/>
      <c r="C120" s="1" t="n"/>
      <c r="D120" s="1" t="n"/>
      <c r="E120" s="1" t="n"/>
      <c r="F120" s="1" t="n"/>
      <c r="G120" s="1" t="n"/>
      <c r="H120" s="1" t="n"/>
      <c r="I120" s="1" t="n"/>
      <c r="J120" s="1" t="n"/>
      <c r="K120" s="1" t="n"/>
      <c r="L120" s="1" t="n"/>
      <c r="M120" s="1" t="n"/>
      <c r="N120" s="1" t="n"/>
    </row>
    <row r="121">
      <c r="A121" s="1" t="n"/>
      <c r="B121" s="1" t="n"/>
      <c r="C121" s="1" t="n"/>
      <c r="D121" s="1" t="n"/>
      <c r="E121" s="1" t="n"/>
      <c r="F121" s="1" t="n"/>
      <c r="G121" s="1" t="n"/>
      <c r="H121" s="1" t="n"/>
      <c r="I121" s="1" t="n"/>
      <c r="J121" s="1" t="n"/>
      <c r="K121" s="1" t="n"/>
      <c r="L121" s="1" t="n"/>
      <c r="M121" s="1" t="n"/>
      <c r="N121" s="1" t="n"/>
    </row>
    <row r="122">
      <c r="A122" s="1" t="n"/>
      <c r="B122" s="1" t="n"/>
      <c r="C122" s="1" t="n"/>
      <c r="D122" s="1" t="n"/>
      <c r="E122" s="1" t="n"/>
      <c r="F122" s="1" t="n"/>
      <c r="G122" s="1" t="n"/>
      <c r="H122" s="1" t="n"/>
      <c r="I122" s="1" t="n"/>
      <c r="J122" s="1" t="n"/>
      <c r="K122" s="1" t="n"/>
      <c r="L122" s="1" t="n"/>
      <c r="M122" s="1" t="n"/>
      <c r="N122" s="1" t="n"/>
    </row>
    <row r="123">
      <c r="A123" s="1" t="n"/>
      <c r="B123" s="1" t="n"/>
      <c r="C123" s="1" t="n"/>
      <c r="D123" s="1" t="n"/>
      <c r="E123" s="1" t="n"/>
      <c r="F123" s="1" t="n"/>
      <c r="G123" s="1" t="n"/>
      <c r="H123" s="1" t="n"/>
      <c r="I123" s="1" t="n"/>
      <c r="J123" s="1" t="n"/>
      <c r="K123" s="1" t="n"/>
      <c r="L123" s="1" t="n"/>
      <c r="M123" s="1" t="n"/>
      <c r="N123" s="1" t="n"/>
    </row>
    <row r="124">
      <c r="A124" s="1" t="n"/>
      <c r="B124" s="1" t="n"/>
      <c r="C124" s="1" t="n"/>
      <c r="D124" s="1" t="n"/>
      <c r="E124" s="1" t="n"/>
      <c r="F124" s="1" t="n"/>
      <c r="G124" s="1" t="n"/>
      <c r="H124" s="1" t="n"/>
      <c r="I124" s="1" t="n"/>
      <c r="J124" s="1" t="n"/>
      <c r="K124" s="1" t="n"/>
      <c r="L124" s="1" t="n"/>
      <c r="M124" s="1" t="n"/>
      <c r="N124" s="1" t="n"/>
    </row>
    <row r="125">
      <c r="A125" s="1" t="n"/>
      <c r="B125" s="1" t="n"/>
      <c r="C125" s="1" t="n"/>
      <c r="D125" s="1" t="n"/>
      <c r="E125" s="1" t="n"/>
      <c r="F125" s="1" t="n"/>
      <c r="G125" s="1" t="n"/>
      <c r="H125" s="1" t="n"/>
      <c r="I125" s="1" t="n"/>
      <c r="J125" s="1" t="n"/>
      <c r="K125" s="1" t="n"/>
      <c r="L125" s="1" t="n"/>
      <c r="M125" s="1" t="n"/>
      <c r="N125" s="1" t="n"/>
    </row>
    <row r="126">
      <c r="A126" s="1" t="n"/>
      <c r="B126" s="1" t="n"/>
      <c r="C126" s="1" t="n"/>
      <c r="D126" s="1" t="n"/>
      <c r="E126" s="1" t="n"/>
      <c r="F126" s="1" t="n"/>
      <c r="G126" s="1" t="n"/>
      <c r="H126" s="1" t="n"/>
      <c r="I126" s="1" t="n"/>
      <c r="J126" s="1" t="n"/>
      <c r="K126" s="1" t="n"/>
      <c r="L126" s="1" t="n"/>
      <c r="M126" s="1" t="n"/>
      <c r="N126" s="1" t="n"/>
    </row>
    <row r="127">
      <c r="A127" s="1" t="n"/>
      <c r="B127" s="1" t="n"/>
      <c r="C127" s="1" t="n"/>
      <c r="D127" s="1" t="n"/>
      <c r="E127" s="1" t="n"/>
      <c r="F127" s="1" t="n"/>
      <c r="G127" s="1" t="n"/>
      <c r="H127" s="1" t="n"/>
      <c r="I127" s="1" t="n"/>
      <c r="J127" s="1" t="n"/>
      <c r="K127" s="1" t="n"/>
      <c r="L127" s="1" t="n"/>
      <c r="M127" s="1" t="n"/>
      <c r="N127" s="1" t="n"/>
    </row>
    <row r="128">
      <c r="A128" s="1" t="n"/>
      <c r="B128" s="1" t="n"/>
      <c r="C128" s="1" t="n"/>
      <c r="D128" s="1" t="n"/>
      <c r="E128" s="1" t="n"/>
      <c r="F128" s="1" t="n"/>
      <c r="G128" s="1" t="n"/>
      <c r="H128" s="1" t="n"/>
      <c r="I128" s="1" t="n"/>
      <c r="J128" s="1" t="n"/>
      <c r="K128" s="1" t="n"/>
      <c r="L128" s="1" t="n"/>
      <c r="M128" s="1" t="n"/>
      <c r="N128" s="1" t="n"/>
    </row>
    <row r="129">
      <c r="A129" s="1" t="n"/>
      <c r="B129" s="1" t="n"/>
      <c r="C129" s="1" t="n"/>
      <c r="D129" s="1" t="n"/>
      <c r="E129" s="1" t="n"/>
      <c r="F129" s="1" t="n"/>
      <c r="G129" s="1" t="n"/>
      <c r="H129" s="1" t="n"/>
      <c r="I129" s="1" t="n"/>
      <c r="J129" s="1" t="n"/>
      <c r="K129" s="1" t="n"/>
      <c r="L129" s="1" t="n"/>
      <c r="M129" s="1" t="n"/>
      <c r="N129" s="1" t="n"/>
    </row>
    <row r="130">
      <c r="A130" s="1" t="n"/>
      <c r="B130" s="1" t="n"/>
      <c r="C130" s="1" t="n"/>
      <c r="D130" s="1" t="n"/>
      <c r="E130" s="1" t="n"/>
      <c r="F130" s="1" t="n"/>
      <c r="G130" s="1" t="n"/>
      <c r="H130" s="1" t="n"/>
      <c r="I130" s="1" t="n"/>
      <c r="J130" s="1" t="n"/>
      <c r="K130" s="1" t="n"/>
      <c r="L130" s="1" t="n"/>
      <c r="M130" s="1" t="n"/>
      <c r="N130" s="1" t="n"/>
    </row>
    <row r="131">
      <c r="A131" s="1" t="n"/>
      <c r="B131" s="1" t="n"/>
      <c r="C131" s="1" t="n"/>
      <c r="D131" s="1" t="n"/>
      <c r="E131" s="1" t="n"/>
      <c r="F131" s="1" t="n"/>
      <c r="G131" s="1" t="n"/>
      <c r="H131" s="1" t="n"/>
      <c r="I131" s="1" t="n"/>
      <c r="J131" s="1" t="n"/>
      <c r="K131" s="1" t="n"/>
      <c r="L131" s="1" t="n"/>
      <c r="M131" s="1" t="n"/>
      <c r="N131" s="1" t="n"/>
    </row>
    <row r="132">
      <c r="A132" s="1" t="n"/>
      <c r="B132" s="1" t="n"/>
      <c r="C132" s="1" t="n"/>
      <c r="D132" s="1" t="n"/>
      <c r="E132" s="1" t="n"/>
      <c r="F132" s="1" t="n"/>
      <c r="G132" s="1" t="n"/>
      <c r="H132" s="1" t="n"/>
      <c r="I132" s="1" t="n"/>
      <c r="J132" s="1" t="n"/>
      <c r="K132" s="1" t="n"/>
      <c r="L132" s="1" t="n"/>
      <c r="M132" s="1" t="n"/>
      <c r="N132" s="1" t="n"/>
    </row>
    <row r="133">
      <c r="A133" s="1" t="n"/>
      <c r="B133" s="1" t="n"/>
      <c r="C133" s="1" t="n"/>
      <c r="D133" s="1" t="n"/>
      <c r="E133" s="1" t="n"/>
      <c r="F133" s="1" t="n"/>
      <c r="G133" s="1" t="n"/>
      <c r="H133" s="1" t="n"/>
      <c r="I133" s="1" t="n"/>
      <c r="J133" s="1" t="n"/>
      <c r="K133" s="1" t="n"/>
      <c r="L133" s="1" t="n"/>
      <c r="M133" s="1" t="n"/>
      <c r="N133" s="1" t="n"/>
    </row>
    <row r="134">
      <c r="A134" s="1" t="n"/>
      <c r="B134" s="1" t="n"/>
      <c r="C134" s="1" t="n"/>
      <c r="D134" s="1" t="n"/>
      <c r="E134" s="1" t="n"/>
      <c r="F134" s="1" t="n"/>
      <c r="G134" s="1" t="n"/>
      <c r="H134" s="1" t="n"/>
      <c r="I134" s="1" t="n"/>
      <c r="J134" s="1" t="n"/>
      <c r="K134" s="1" t="n"/>
      <c r="L134" s="1" t="n"/>
      <c r="M134" s="1" t="n"/>
      <c r="N134" s="1" t="n"/>
    </row>
    <row r="135">
      <c r="A135" s="1" t="n"/>
      <c r="B135" s="1" t="n"/>
      <c r="C135" s="1" t="n"/>
      <c r="D135" s="1" t="n"/>
      <c r="E135" s="1" t="n"/>
      <c r="F135" s="1" t="n"/>
      <c r="G135" s="1" t="n"/>
      <c r="H135" s="1" t="n"/>
      <c r="I135" s="1" t="n"/>
      <c r="J135" s="1" t="n"/>
      <c r="K135" s="1" t="n"/>
      <c r="L135" s="1" t="n"/>
      <c r="M135" s="1" t="n"/>
      <c r="N135" s="1" t="n"/>
    </row>
    <row r="136">
      <c r="A136" s="1" t="n"/>
      <c r="B136" s="1" t="n"/>
      <c r="C136" s="1" t="n"/>
      <c r="D136" s="1" t="n"/>
      <c r="E136" s="1" t="n"/>
      <c r="F136" s="1" t="n"/>
      <c r="G136" s="1" t="n"/>
      <c r="H136" s="1" t="n"/>
      <c r="I136" s="1" t="n"/>
      <c r="J136" s="1" t="n"/>
      <c r="K136" s="1" t="n"/>
      <c r="L136" s="1" t="n"/>
      <c r="M136" s="1" t="n"/>
      <c r="N136" s="1" t="n"/>
    </row>
    <row r="137">
      <c r="A137" s="1" t="n"/>
      <c r="B137" s="1" t="n"/>
      <c r="C137" s="1" t="n"/>
      <c r="D137" s="1" t="n"/>
      <c r="E137" s="1" t="n"/>
      <c r="F137" s="1" t="n"/>
      <c r="G137" s="1" t="n"/>
      <c r="H137" s="1" t="n"/>
      <c r="I137" s="1" t="n"/>
      <c r="J137" s="1" t="n"/>
      <c r="K137" s="1" t="n"/>
      <c r="L137" s="1" t="n"/>
      <c r="M137" s="1" t="n"/>
      <c r="N137" s="1" t="n"/>
    </row>
    <row r="138">
      <c r="A138" s="1" t="n"/>
      <c r="B138" s="1" t="n"/>
      <c r="C138" s="1" t="n"/>
      <c r="D138" s="1" t="n"/>
      <c r="E138" s="1" t="n"/>
      <c r="F138" s="1" t="n"/>
      <c r="G138" s="1" t="n"/>
      <c r="H138" s="1" t="n"/>
      <c r="I138" s="1" t="n"/>
      <c r="J138" s="1" t="n"/>
      <c r="K138" s="1" t="n"/>
      <c r="L138" s="1" t="n"/>
      <c r="M138" s="1" t="n"/>
      <c r="N138" s="1" t="n"/>
    </row>
    <row r="139">
      <c r="A139" s="1" t="n"/>
      <c r="B139" s="1" t="n"/>
      <c r="C139" s="1" t="n"/>
      <c r="D139" s="1" t="n"/>
      <c r="E139" s="1" t="n"/>
      <c r="F139" s="1" t="n"/>
      <c r="G139" s="1" t="n"/>
      <c r="H139" s="1" t="n"/>
      <c r="I139" s="1" t="n"/>
      <c r="J139" s="1" t="n"/>
      <c r="K139" s="1" t="n"/>
      <c r="L139" s="1" t="n"/>
      <c r="M139" s="1" t="n"/>
      <c r="N139" s="1" t="n"/>
    </row>
    <row r="140">
      <c r="A140" s="1" t="n"/>
      <c r="B140" s="1" t="n"/>
      <c r="C140" s="1" t="n"/>
      <c r="D140" s="1" t="n"/>
      <c r="E140" s="1" t="n"/>
      <c r="F140" s="1" t="n"/>
      <c r="G140" s="1" t="n"/>
      <c r="H140" s="1" t="n"/>
      <c r="I140" s="1" t="n"/>
      <c r="J140" s="1" t="n"/>
      <c r="K140" s="1" t="n"/>
      <c r="L140" s="1" t="n"/>
      <c r="M140" s="1" t="n"/>
      <c r="N140" s="1" t="n"/>
    </row>
  </sheetData>
  <mergeCells count="45">
    <mergeCell ref="D69:E69"/>
    <mergeCell ref="F69:G69"/>
    <mergeCell ref="D16:E17"/>
    <mergeCell ref="B10:C11"/>
    <mergeCell ref="L66:M66"/>
    <mergeCell ref="B66:C66"/>
    <mergeCell ref="J69:K69"/>
    <mergeCell ref="H9:I9"/>
    <mergeCell ref="J9:K9"/>
    <mergeCell ref="F16:H17"/>
    <mergeCell ref="B21:L21"/>
    <mergeCell ref="B39:L39"/>
    <mergeCell ref="D67:E68"/>
    <mergeCell ref="F67:G68"/>
    <mergeCell ref="H67:I68"/>
    <mergeCell ref="D10:E11"/>
    <mergeCell ref="J67:K68"/>
    <mergeCell ref="D66:E66"/>
    <mergeCell ref="F66:G66"/>
    <mergeCell ref="B69:C69"/>
    <mergeCell ref="H69:I69"/>
    <mergeCell ref="B4:L5"/>
    <mergeCell ref="I16:K17"/>
    <mergeCell ref="B16:C17"/>
    <mergeCell ref="K2:L2"/>
    <mergeCell ref="F10:G11"/>
    <mergeCell ref="L67:M68"/>
    <mergeCell ref="H10:I11"/>
    <mergeCell ref="J10:K11"/>
    <mergeCell ref="B2:E2"/>
    <mergeCell ref="H66:I66"/>
    <mergeCell ref="B9:C9"/>
    <mergeCell ref="L69:M69"/>
    <mergeCell ref="D9:E9"/>
    <mergeCell ref="J66:K66"/>
    <mergeCell ref="I15:K15"/>
    <mergeCell ref="F9:G9"/>
    <mergeCell ref="D12:E12"/>
    <mergeCell ref="B15:C15"/>
    <mergeCell ref="B6:L6"/>
    <mergeCell ref="D15:E15"/>
    <mergeCell ref="B64:L64"/>
    <mergeCell ref="B67:C68"/>
    <mergeCell ref="F15:H15"/>
    <mergeCell ref="B63:L63"/>
  </mergeCells>
  <conditionalFormatting sqref="E23:E38">
    <cfRule type="dataBar" priority="1">
      <dataBar>
        <cfvo type="min"/>
        <cfvo type="max"/>
        <color rgb="009DC3E6"/>
      </dataBar>
    </cfRule>
  </conditionalFormatting>
  <conditionalFormatting sqref="H23:H38">
    <cfRule type="dataBar" priority="2">
      <dataBar>
        <cfvo type="num" val="0"/>
        <cfvo type="max"/>
        <color rgb="0070AD47"/>
      </dataBar>
    </cfRule>
    <cfRule type="cellIs" priority="3" operator="lessThan" dxfId="0">
      <formula>0</formula>
    </cfRule>
  </conditionalFormatting>
  <hyperlinks>
    <hyperlink xmlns:r="http://schemas.openxmlformats.org/officeDocument/2006/relationships" ref="B1" r:id="rId1"/>
  </hyperlinks>
  <printOptions horizontalCentered="0"/>
  <pageMargins left="0.75" right="0.75" top="1" bottom="1" header="0.5" footer="0.5"/>
  <pageSetup orientation="landscape" fitToHeight="0" fitToWidth="1"/>
  <drawing xmlns:r="http://schemas.openxmlformats.org/officeDocument/2006/relationships" r:id="rId2"/>
  <tableParts count="1">
    <tablePart xmlns:r="http://schemas.openxmlformats.org/officeDocument/2006/relationships" r:id="rId3"/>
  </tableParts>
</worksheet>
</file>

<file path=xl/worksheets/sheet4.xml><?xml version="1.0" encoding="utf-8"?>
<worksheet xmlns="http://schemas.openxmlformats.org/spreadsheetml/2006/main">
  <sheetPr>
    <tabColor rgb="000E7C7B"/>
    <outlinePr summaryBelow="1" summaryRight="1"/>
    <pageSetUpPr fitToPage="1"/>
  </sheetPr>
  <dimension ref="A1:M60"/>
  <sheetViews>
    <sheetView showGridLines="0" workbookViewId="0">
      <selection activeCell="A1" sqref="A1"/>
    </sheetView>
  </sheetViews>
  <sheetFormatPr baseColWidth="8" defaultRowHeight="15"/>
  <cols>
    <col width="3" customWidth="1" min="1" max="1"/>
    <col width="15" customWidth="1" min="2" max="2"/>
    <col width="15" customWidth="1" min="3" max="3"/>
    <col width="15" customWidth="1" min="4" max="4"/>
    <col width="15" customWidth="1" min="5" max="5"/>
    <col width="3" customWidth="1" min="6" max="6"/>
    <col width="15" customWidth="1" min="7" max="7"/>
    <col width="15" customWidth="1" min="8" max="8"/>
    <col width="15" customWidth="1" min="9" max="9"/>
    <col width="3" customWidth="1" min="10" max="10"/>
    <col width="15" customWidth="1" min="11" max="11"/>
    <col width="15" customWidth="1" min="12" max="12"/>
  </cols>
  <sheetData>
    <row r="1">
      <c r="A1" s="1" t="n"/>
      <c r="B1" s="1" t="n"/>
      <c r="C1" s="1" t="n"/>
      <c r="D1" s="1" t="n"/>
      <c r="E1" s="1" t="n"/>
      <c r="F1" s="1" t="n"/>
      <c r="G1" s="1" t="n"/>
      <c r="H1" s="1" t="n"/>
      <c r="I1" s="1" t="n"/>
      <c r="J1" s="1" t="n"/>
      <c r="K1" s="1" t="n"/>
      <c r="L1" s="48" t="inlineStr">
        <is>
          <t>← 01 Exec Summary</t>
        </is>
      </c>
      <c r="M1" s="1" t="n"/>
    </row>
    <row r="2">
      <c r="A2" s="1" t="n"/>
      <c r="B2" s="2" t="inlineStr">
        <is>
          <t>RESTAURANT INDIAROSA 2 — CORPORATE TAXPREP EXPORT, CROSS-VALIDATED FIELDS ONLY</t>
        </is>
      </c>
      <c r="C2" s="3" t="n"/>
      <c r="D2" s="3" t="n"/>
      <c r="E2" s="3" t="n"/>
      <c r="F2" s="3" t="n"/>
      <c r="G2" s="3" t="n"/>
      <c r="H2" s="3" t="n"/>
      <c r="I2" s="3" t="n"/>
      <c r="J2" s="3" t="n"/>
      <c r="K2" s="1" t="n"/>
      <c r="L2" s="1" t="n"/>
      <c r="M2" s="1" t="n"/>
    </row>
    <row r="3">
      <c r="A3" s="1" t="n"/>
      <c r="B3" s="1" t="n"/>
      <c r="C3" s="1" t="n"/>
      <c r="D3" s="1" t="n"/>
      <c r="E3" s="1" t="n"/>
      <c r="F3" s="1" t="n"/>
      <c r="G3" s="1" t="n"/>
      <c r="H3" s="1" t="n"/>
      <c r="I3" s="1" t="n"/>
      <c r="J3" s="1" t="n"/>
      <c r="K3" s="1" t="n"/>
      <c r="L3" s="1" t="n"/>
      <c r="M3" s="1" t="n"/>
    </row>
    <row r="4">
      <c r="A4" s="1" t="n"/>
      <c r="B4" s="82" t="inlineStr">
        <is>
          <t>Tax Position — Restaurant IndiaRosa 2 &amp; Associated Group</t>
        </is>
      </c>
      <c r="M4" s="1" t="n"/>
    </row>
    <row r="5">
      <c r="A5" s="1" t="n"/>
      <c r="M5" s="1" t="n"/>
    </row>
    <row r="6">
      <c r="A6" s="1" t="n"/>
      <c r="B6" s="83" t="inlineStr">
        <is>
          <t>Every figure on this page was matched against an independently-known number before being trusted (per the handoff doc's validation rule) — nothing here is estimated or assumed.</t>
        </is>
      </c>
      <c r="M6" s="1" t="n"/>
    </row>
    <row r="7">
      <c r="A7" s="1" t="n"/>
      <c r="B7" s="1" t="n"/>
      <c r="C7" s="1" t="n"/>
      <c r="D7" s="1" t="n"/>
      <c r="E7" s="1" t="n"/>
      <c r="F7" s="1" t="n"/>
      <c r="G7" s="1" t="n"/>
      <c r="H7" s="1" t="n"/>
      <c r="I7" s="1" t="n"/>
      <c r="J7" s="1" t="n"/>
      <c r="K7" s="1" t="n"/>
      <c r="L7" s="1" t="n"/>
      <c r="M7" s="1" t="n"/>
    </row>
    <row r="8">
      <c r="A8" s="1" t="n"/>
      <c r="B8" s="14" t="inlineStr">
        <is>
          <t>INCOME TAX, FY2025</t>
        </is>
      </c>
      <c r="C8" s="15" t="n"/>
      <c r="D8" s="14" t="inlineStr">
        <is>
          <t>FY24 NI (ACCOUNTING)</t>
        </is>
      </c>
      <c r="E8" s="15" t="n"/>
      <c r="F8" s="14" t="inlineStr">
        <is>
          <t>FY24 NI (TAX BASIS)</t>
        </is>
      </c>
      <c r="G8" s="15" t="n"/>
      <c r="H8" s="14" t="inlineStr">
        <is>
          <t>NCL B/F, START FY23</t>
        </is>
      </c>
      <c r="I8" s="15" t="n"/>
      <c r="J8" s="1" t="n"/>
      <c r="K8" s="1" t="n"/>
      <c r="L8" s="1" t="n"/>
      <c r="M8" s="1" t="n"/>
    </row>
    <row r="9">
      <c r="A9" s="1" t="n"/>
      <c r="B9" s="16">
        <f>62548.0</f>
        <v/>
      </c>
      <c r="C9" s="15" t="n"/>
      <c r="D9" s="16">
        <f>736959.0</f>
        <v/>
      </c>
      <c r="E9" s="15" t="n"/>
      <c r="F9" s="16">
        <f>918366.0</f>
        <v/>
      </c>
      <c r="G9" s="15" t="n"/>
      <c r="H9" s="16">
        <f>412649.0</f>
        <v/>
      </c>
      <c r="I9" s="15" t="n"/>
      <c r="J9" s="1" t="n"/>
      <c r="K9" s="1" t="n"/>
      <c r="L9" s="1" t="n"/>
      <c r="M9" s="1" t="n"/>
    </row>
    <row r="10">
      <c r="A10" s="1" t="n"/>
      <c r="B10" s="15" t="n"/>
      <c r="C10" s="15" t="n"/>
      <c r="D10" s="15" t="n"/>
      <c r="E10" s="15" t="n"/>
      <c r="F10" s="15" t="n"/>
      <c r="G10" s="15" t="n"/>
      <c r="H10" s="15" t="n"/>
      <c r="I10" s="15" t="n"/>
      <c r="J10" s="1" t="n"/>
      <c r="K10" s="1" t="n"/>
      <c r="L10" s="1" t="n"/>
      <c r="M10" s="1" t="n"/>
    </row>
    <row r="11">
      <c r="A11" s="1" t="n"/>
      <c r="B11" s="19" t="inlineStr">
        <is>
          <t>Matches CaseWare WTB</t>
        </is>
      </c>
      <c r="D11" s="19" t="inlineStr">
        <is>
          <t>Matches CaseWare WTB</t>
        </is>
      </c>
      <c r="F11" s="19" t="inlineStr">
        <is>
          <t>Federal T2 — differs from NI</t>
        </is>
      </c>
      <c r="H11" s="19" t="inlineStr">
        <is>
          <t>Federal — QC: 423,312</t>
        </is>
      </c>
      <c r="J11" s="1" t="n"/>
      <c r="K11" s="1" t="n"/>
      <c r="L11" s="1" t="n"/>
      <c r="M11" s="1" t="n"/>
    </row>
    <row r="12">
      <c r="A12" s="1" t="n"/>
      <c r="B12" s="1" t="n"/>
      <c r="C12" s="1" t="n"/>
      <c r="D12" s="1" t="n"/>
      <c r="E12" s="1" t="n"/>
      <c r="F12" s="1" t="n"/>
      <c r="G12" s="1" t="n"/>
      <c r="H12" s="1" t="n"/>
      <c r="I12" s="1" t="n"/>
      <c r="J12" s="1" t="n"/>
      <c r="K12" s="1" t="n"/>
      <c r="L12" s="1" t="n"/>
      <c r="M12" s="1" t="n"/>
    </row>
    <row r="13">
      <c r="A13" s="1" t="n"/>
      <c r="B13" s="1" t="n"/>
      <c r="C13" s="1" t="n"/>
      <c r="D13" s="1" t="n"/>
      <c r="E13" s="1" t="n"/>
      <c r="F13" s="1" t="n"/>
      <c r="G13" s="1" t="n"/>
      <c r="H13" s="1" t="n"/>
      <c r="I13" s="1" t="n"/>
      <c r="J13" s="1" t="n"/>
      <c r="K13" s="1" t="n"/>
      <c r="L13" s="1" t="n"/>
      <c r="M13" s="1" t="n"/>
    </row>
    <row r="14">
      <c r="A14" s="1" t="n"/>
      <c r="B14" s="84" t="inlineStr">
        <is>
          <t>IndiaRosa 2 — Net income for tax purposes (Federal T2), 3-year</t>
        </is>
      </c>
      <c r="F14" s="1" t="n"/>
      <c r="G14" s="85" t="inlineStr">
        <is>
          <t>RDTOH / GRIP-CDA continuity</t>
        </is>
      </c>
      <c r="H14" s="15" t="n"/>
      <c r="I14" s="15" t="n"/>
      <c r="J14" s="15" t="n"/>
      <c r="K14" s="15" t="n"/>
      <c r="L14" s="15" t="n"/>
      <c r="M14" s="1" t="n"/>
    </row>
    <row r="15">
      <c r="A15" s="1" t="n"/>
      <c r="B15" s="45" t="inlineStr">
        <is>
          <t>Fiscal Year</t>
        </is>
      </c>
      <c r="C15" s="45" t="inlineStr">
        <is>
          <t>Net Income (tax basis)</t>
        </is>
      </c>
      <c r="D15" s="1" t="n"/>
      <c r="E15" s="1" t="n"/>
      <c r="F15" s="1" t="n"/>
      <c r="G15" s="86" t="inlineStr">
        <is>
          <t>RDTOH balance: NOT FOUND
CDA balance: NOT FOUND
Checked every field description in this export for “RDTOH”, “refundable dividend tax on hand”, “CDA”, and “capital dividend” — zero matches, even with “Rolled Forward Data” checked in Xpress Filter. Per the handoff, this may need a dedicated Schedule 3 (RDTOH) / CDA continuity pull rather than the general Xpress Filter export. Not guessed or estimated here.</t>
        </is>
      </c>
      <c r="H15" s="15" t="n"/>
      <c r="I15" s="15" t="n"/>
      <c r="J15" s="15" t="n"/>
      <c r="K15" s="15" t="n"/>
      <c r="L15" s="15" t="n"/>
      <c r="M15" s="1" t="n"/>
    </row>
    <row r="16">
      <c r="A16" s="1" t="n"/>
      <c r="B16" s="1" t="inlineStr">
        <is>
          <t>FY2022</t>
        </is>
      </c>
      <c r="C16" s="44" t="n">
        <v>-59186</v>
      </c>
      <c r="D16" s="1" t="n"/>
      <c r="E16" s="1" t="n"/>
      <c r="F16" s="1" t="n"/>
      <c r="G16" s="15" t="n"/>
      <c r="H16" s="15" t="n"/>
      <c r="I16" s="15" t="n"/>
      <c r="J16" s="15" t="n"/>
      <c r="K16" s="15" t="n"/>
      <c r="L16" s="15" t="n"/>
      <c r="M16" s="1" t="n"/>
    </row>
    <row r="17">
      <c r="A17" s="1" t="n"/>
      <c r="B17" s="1" t="inlineStr">
        <is>
          <t>FY2023</t>
        </is>
      </c>
      <c r="C17" s="44" t="n">
        <v>-1271829</v>
      </c>
      <c r="D17" s="1" t="n"/>
      <c r="E17" s="1" t="n"/>
      <c r="F17" s="1" t="n"/>
      <c r="G17" s="15" t="n"/>
      <c r="H17" s="15" t="n"/>
      <c r="I17" s="15" t="n"/>
      <c r="J17" s="15" t="n"/>
      <c r="K17" s="15" t="n"/>
      <c r="L17" s="15" t="n"/>
      <c r="M17" s="1" t="n"/>
    </row>
    <row r="18">
      <c r="A18" s="1" t="n"/>
      <c r="B18" s="1" t="inlineStr">
        <is>
          <t>FY2024</t>
        </is>
      </c>
      <c r="C18" s="44" t="n">
        <v>918366</v>
      </c>
      <c r="D18" s="1" t="n"/>
      <c r="E18" s="1" t="n"/>
      <c r="F18" s="1" t="n"/>
      <c r="G18" s="15" t="n"/>
      <c r="H18" s="15" t="n"/>
      <c r="I18" s="15" t="n"/>
      <c r="J18" s="15" t="n"/>
      <c r="K18" s="15" t="n"/>
      <c r="L18" s="15" t="n"/>
      <c r="M18" s="1" t="n"/>
    </row>
    <row r="19">
      <c r="A19" s="1" t="n"/>
      <c r="B19" s="1" t="n"/>
      <c r="C19" s="1" t="n"/>
      <c r="D19" s="1" t="n"/>
      <c r="E19" s="1" t="n"/>
      <c r="F19" s="1" t="n"/>
      <c r="G19" s="15" t="n"/>
      <c r="H19" s="15" t="n"/>
      <c r="I19" s="15" t="n"/>
      <c r="J19" s="15" t="n"/>
      <c r="K19" s="15" t="n"/>
      <c r="L19" s="15" t="n"/>
      <c r="M19" s="1" t="n"/>
    </row>
    <row r="20">
      <c r="A20" s="1" t="n"/>
      <c r="B20" s="87" t="inlineStr">
        <is>
          <t>Not the formal 'Taxable Income' line (loss-carryforward application isn't shown in this export) — this is 'Net income for income tax purposes' per the T2. Genuinely differs from accounting net income; not treated as interchangeable.</t>
        </is>
      </c>
      <c r="F20" s="1" t="n"/>
      <c r="G20" s="1" t="n"/>
      <c r="H20" s="1" t="n"/>
      <c r="I20" s="1" t="n"/>
      <c r="J20" s="1" t="n"/>
      <c r="K20" s="1" t="n"/>
      <c r="L20" s="1" t="n"/>
      <c r="M20" s="1" t="n"/>
    </row>
    <row r="21">
      <c r="A21" s="1" t="n"/>
      <c r="F21" s="1" t="n"/>
      <c r="G21" s="1" t="n"/>
      <c r="H21" s="1" t="n"/>
      <c r="I21" s="1" t="n"/>
      <c r="J21" s="1" t="n"/>
      <c r="K21" s="1" t="n"/>
      <c r="L21" s="1" t="n"/>
      <c r="M21" s="1" t="n"/>
    </row>
    <row r="22">
      <c r="A22" s="1" t="n"/>
      <c r="B22" s="1" t="n"/>
      <c r="C22" s="1" t="n"/>
      <c r="D22" s="1" t="n"/>
      <c r="E22" s="1" t="n"/>
      <c r="F22" s="1" t="n"/>
      <c r="G22" s="1" t="n"/>
      <c r="H22" s="1" t="n"/>
      <c r="I22" s="1" t="n"/>
      <c r="J22" s="1" t="n"/>
      <c r="K22" s="1" t="n"/>
      <c r="L22" s="1" t="n"/>
      <c r="M22" s="1" t="n"/>
    </row>
    <row r="23">
      <c r="A23" s="1" t="n"/>
      <c r="B23" s="84" t="inlineStr">
        <is>
          <t>Associated Group — SBD &amp; GRIP (from IndiaRosa 2's Taxprep SLIPA schedule, current year)</t>
        </is>
      </c>
      <c r="M23" s="1" t="n"/>
    </row>
    <row r="24">
      <c r="A24" s="1" t="n"/>
      <c r="B24" s="39" t="inlineStr">
        <is>
          <t>Excludes IndiaRosa 2's own SBD claim — not found in this export.</t>
        </is>
      </c>
      <c r="M24" s="1" t="n"/>
    </row>
    <row r="25">
      <c r="A25" s="1" t="n"/>
      <c r="B25" s="61" t="inlineStr">
        <is>
          <t>Entity</t>
        </is>
      </c>
      <c r="C25" s="61" t="inlineStr">
        <is>
          <t>Net Income (tax)</t>
        </is>
      </c>
      <c r="D25" s="61" t="inlineStr">
        <is>
          <t>Part I Tax</t>
        </is>
      </c>
      <c r="E25" s="61" t="inlineStr">
        <is>
          <t>SBD</t>
        </is>
      </c>
      <c r="F25" s="1" t="n"/>
      <c r="G25" s="61" t="inlineStr">
        <is>
          <t>GRIP</t>
        </is>
      </c>
      <c r="H25" s="1" t="n"/>
      <c r="I25" s="1" t="n"/>
      <c r="J25" s="1" t="n"/>
      <c r="K25" s="1" t="n"/>
      <c r="L25" s="1" t="n"/>
      <c r="M25" s="1" t="n"/>
    </row>
    <row r="26">
      <c r="A26" s="1" t="n"/>
      <c r="B26" s="62" t="inlineStr">
        <is>
          <t>9357-7427 Québec Inc.</t>
        </is>
      </c>
      <c r="C26" s="66" t="n">
        <v>-3147</v>
      </c>
      <c r="D26" s="66" t="n">
        <v>0</v>
      </c>
      <c r="E26" s="66" t="n">
        <v>0</v>
      </c>
      <c r="F26" s="1" t="n"/>
      <c r="G26" s="66" t="n">
        <v>0</v>
      </c>
      <c r="H26" s="1" t="n"/>
      <c r="I26" s="1" t="n"/>
      <c r="J26" s="1" t="n"/>
      <c r="K26" s="1" t="n"/>
      <c r="L26" s="1" t="n"/>
      <c r="M26" s="1" t="n"/>
    </row>
    <row r="27">
      <c r="A27" s="1" t="n"/>
      <c r="B27" s="62" t="inlineStr">
        <is>
          <t>9366-1676 Quebec Inc.</t>
        </is>
      </c>
      <c r="C27" s="66" t="n">
        <v>-665484</v>
      </c>
      <c r="D27" s="66" t="n">
        <v>0</v>
      </c>
      <c r="E27" s="66" t="n">
        <v>0</v>
      </c>
      <c r="F27" s="1" t="n"/>
      <c r="G27" s="66" t="n">
        <v>0</v>
      </c>
      <c r="H27" s="1" t="n"/>
      <c r="I27" s="1" t="n"/>
      <c r="J27" s="1" t="n"/>
      <c r="K27" s="1" t="n"/>
      <c r="L27" s="1" t="n"/>
      <c r="M27" s="1" t="n"/>
    </row>
    <row r="28">
      <c r="A28" s="1" t="n"/>
      <c r="B28" s="62" t="inlineStr">
        <is>
          <t>9425-4547 Québec Inc.</t>
        </is>
      </c>
      <c r="C28" s="66" t="n">
        <v>112788</v>
      </c>
      <c r="D28" s="66" t="n">
        <v>12155</v>
      </c>
      <c r="E28" s="66" t="n">
        <v>20146</v>
      </c>
      <c r="F28" s="1" t="n"/>
      <c r="G28" s="66" t="n">
        <v>29568</v>
      </c>
      <c r="H28" s="1" t="n"/>
      <c r="I28" s="1" t="n"/>
      <c r="J28" s="1" t="n"/>
      <c r="K28" s="1" t="n"/>
      <c r="L28" s="1" t="n"/>
      <c r="M28" s="1" t="n"/>
    </row>
    <row r="29">
      <c r="A29" s="1" t="n"/>
      <c r="B29" s="62" t="inlineStr">
        <is>
          <t>9455-4169 Quebec Inc.</t>
        </is>
      </c>
      <c r="C29" s="66" t="n">
        <v>-3065</v>
      </c>
      <c r="D29" s="66" t="n">
        <v>0</v>
      </c>
      <c r="E29" s="66" t="n">
        <v>0</v>
      </c>
      <c r="F29" s="1" t="n"/>
      <c r="G29" s="66" t="n">
        <v>0</v>
      </c>
      <c r="H29" s="1" t="n"/>
      <c r="I29" s="1" t="n"/>
      <c r="J29" s="1" t="n"/>
      <c r="K29" s="1" t="n"/>
      <c r="L29" s="1" t="n"/>
      <c r="M29" s="1" t="n"/>
    </row>
    <row r="30">
      <c r="A30" s="1" t="n"/>
      <c r="B30" s="62" t="inlineStr">
        <is>
          <t>9455-4177 Quebec Inc.</t>
        </is>
      </c>
      <c r="C30" s="66" t="n">
        <v>-3015</v>
      </c>
      <c r="D30" s="66" t="n">
        <v>0</v>
      </c>
      <c r="E30" s="66" t="n">
        <v>0</v>
      </c>
      <c r="F30" s="1" t="n"/>
      <c r="G30" s="66" t="n">
        <v>0</v>
      </c>
      <c r="H30" s="1" t="n"/>
      <c r="I30" s="1" t="n"/>
      <c r="J30" s="1" t="n"/>
      <c r="K30" s="1" t="n"/>
      <c r="L30" s="1" t="n"/>
      <c r="M30" s="1" t="n"/>
    </row>
    <row r="31">
      <c r="A31" s="1" t="n"/>
      <c r="B31" s="62" t="inlineStr">
        <is>
          <t>9455-4201 Quebec inc.</t>
        </is>
      </c>
      <c r="C31" s="66" t="n">
        <v>577222</v>
      </c>
      <c r="D31" s="66" t="n">
        <v>0</v>
      </c>
      <c r="E31" s="66" t="n">
        <v>0</v>
      </c>
      <c r="F31" s="1" t="n"/>
      <c r="G31" s="66" t="n">
        <v>0</v>
      </c>
      <c r="H31" s="1" t="n"/>
      <c r="I31" s="1" t="n"/>
      <c r="J31" s="1" t="n"/>
      <c r="K31" s="1" t="n"/>
      <c r="L31" s="1" t="n"/>
      <c r="M31" s="1" t="n"/>
    </row>
    <row r="32">
      <c r="A32" s="1" t="n"/>
      <c r="B32" s="62" t="inlineStr">
        <is>
          <t>9108-6876 Quebec Inc.</t>
        </is>
      </c>
      <c r="C32" s="66" t="n">
        <v>390551</v>
      </c>
      <c r="D32" s="66" t="n">
        <v>8318</v>
      </c>
      <c r="E32" s="66" t="n">
        <v>16540</v>
      </c>
      <c r="F32" s="1" t="n"/>
      <c r="G32" s="66" t="n">
        <v>2325</v>
      </c>
      <c r="H32" s="1" t="n"/>
      <c r="I32" s="1" t="n"/>
      <c r="J32" s="1" t="n"/>
      <c r="K32" s="1" t="n"/>
      <c r="L32" s="1" t="n"/>
      <c r="M32" s="1" t="n"/>
    </row>
    <row r="33">
      <c r="A33" s="1" t="n"/>
      <c r="B33" s="62" t="inlineStr">
        <is>
          <t>Bistro Guru Inc.</t>
        </is>
      </c>
      <c r="C33" s="66" t="n">
        <v>-32467</v>
      </c>
      <c r="D33" s="66" t="n">
        <v>0</v>
      </c>
      <c r="E33" s="66" t="n">
        <v>0</v>
      </c>
      <c r="F33" s="1" t="n"/>
      <c r="G33" s="66" t="n">
        <v>0</v>
      </c>
      <c r="H33" s="1" t="n"/>
      <c r="I33" s="1" t="n"/>
      <c r="J33" s="1" t="n"/>
      <c r="K33" s="1" t="n"/>
      <c r="L33" s="1" t="n"/>
      <c r="M33" s="1" t="n"/>
    </row>
    <row r="34">
      <c r="A34" s="1" t="n"/>
      <c r="B34" s="62" t="inlineStr">
        <is>
          <t>9096-0436 Quebec Inc.</t>
        </is>
      </c>
      <c r="C34" s="66" t="n">
        <v>-21235</v>
      </c>
      <c r="D34" s="66" t="n">
        <v>0</v>
      </c>
      <c r="E34" s="66" t="n">
        <v>0</v>
      </c>
      <c r="F34" s="1" t="n"/>
      <c r="G34" s="66" t="n">
        <v>0</v>
      </c>
      <c r="H34" s="1" t="n"/>
      <c r="I34" s="1" t="n"/>
      <c r="J34" s="1" t="n"/>
      <c r="K34" s="1" t="n"/>
      <c r="L34" s="1" t="n"/>
      <c r="M34" s="1" t="n"/>
    </row>
    <row r="35">
      <c r="A35" s="1" t="n"/>
      <c r="B35" s="62" t="inlineStr">
        <is>
          <t>9366-1049 Québec Inc.</t>
        </is>
      </c>
      <c r="C35" s="66" t="n">
        <v>312963</v>
      </c>
      <c r="D35" s="66" t="n">
        <v>35338</v>
      </c>
      <c r="E35" s="66" t="n">
        <v>36755</v>
      </c>
      <c r="F35" s="1" t="n"/>
      <c r="G35" s="66" t="n">
        <v>229599</v>
      </c>
      <c r="H35" s="1" t="n"/>
      <c r="I35" s="1" t="n"/>
      <c r="J35" s="1" t="n"/>
      <c r="K35" s="1" t="n"/>
      <c r="L35" s="1" t="n"/>
      <c r="M35" s="1" t="n"/>
    </row>
    <row r="36">
      <c r="A36" s="1" t="n"/>
      <c r="B36" s="62" t="inlineStr">
        <is>
          <t>9098-0558 Quebec Inc.</t>
        </is>
      </c>
      <c r="C36" s="66" t="n">
        <v>-13045</v>
      </c>
      <c r="D36" s="66" t="n">
        <v>0</v>
      </c>
      <c r="E36" s="66" t="n">
        <v>0</v>
      </c>
      <c r="F36" s="1" t="n"/>
      <c r="G36" s="66" t="n">
        <v>0</v>
      </c>
      <c r="H36" s="1" t="n"/>
      <c r="I36" s="1" t="n"/>
      <c r="J36" s="1" t="n"/>
      <c r="K36" s="1" t="n"/>
      <c r="L36" s="1" t="n"/>
      <c r="M36" s="1" t="n"/>
    </row>
    <row r="37">
      <c r="A37" s="1" t="n"/>
      <c r="B37" s="62" t="inlineStr">
        <is>
          <t>2749-8567 Quebec Inc.</t>
        </is>
      </c>
      <c r="C37" s="66" t="n">
        <v>28760</v>
      </c>
      <c r="D37" s="66" t="n">
        <v>2864</v>
      </c>
      <c r="E37" s="66" t="n">
        <v>4594</v>
      </c>
      <c r="F37" s="1" t="n"/>
      <c r="G37" s="66" t="n">
        <v>3297</v>
      </c>
      <c r="H37" s="1" t="n"/>
      <c r="I37" s="1" t="n"/>
      <c r="J37" s="1" t="n"/>
      <c r="K37" s="1" t="n"/>
      <c r="L37" s="1" t="n"/>
      <c r="M37" s="1" t="n"/>
    </row>
    <row r="38">
      <c r="A38" s="1" t="n"/>
      <c r="B38" s="62" t="inlineStr">
        <is>
          <t>9504-7510 Québec Inc.</t>
        </is>
      </c>
      <c r="C38" s="66" t="n">
        <v>-465609</v>
      </c>
      <c r="D38" s="66" t="n">
        <v>0</v>
      </c>
      <c r="E38" s="66" t="n">
        <v>0</v>
      </c>
      <c r="F38" s="1" t="n"/>
      <c r="G38" s="66" t="n">
        <v>0</v>
      </c>
      <c r="H38" s="1" t="n"/>
      <c r="I38" s="1" t="n"/>
      <c r="J38" s="1" t="n"/>
      <c r="K38" s="1" t="n"/>
      <c r="L38" s="1" t="n"/>
      <c r="M38" s="1" t="n"/>
    </row>
    <row r="39">
      <c r="A39" s="1" t="n"/>
      <c r="B39" s="62" t="inlineStr">
        <is>
          <t>9525-2854 Québec Inc.</t>
        </is>
      </c>
      <c r="C39" s="66" t="n">
        <v>-55143</v>
      </c>
      <c r="D39" s="66" t="n">
        <v>0</v>
      </c>
      <c r="E39" s="66" t="n">
        <v>0</v>
      </c>
      <c r="F39" s="1" t="n"/>
      <c r="G39" s="66" t="n">
        <v>0</v>
      </c>
      <c r="H39" s="1" t="n"/>
      <c r="I39" s="1" t="n"/>
      <c r="J39" s="1" t="n"/>
      <c r="K39" s="1" t="n"/>
      <c r="L39" s="1" t="n"/>
      <c r="M39" s="1" t="n"/>
    </row>
    <row r="40">
      <c r="A40" s="1" t="n"/>
      <c r="B40" s="64" t="inlineStr">
        <is>
          <t>Total</t>
        </is>
      </c>
      <c r="C40" s="88">
        <f>SUM(C26:C39)</f>
        <v/>
      </c>
      <c r="D40" s="88">
        <f>SUM(D26:D39)</f>
        <v/>
      </c>
      <c r="E40" s="88">
        <f>SUM(E26:E39)</f>
        <v/>
      </c>
      <c r="F40" s="1" t="n"/>
      <c r="G40" s="88">
        <f>SUM(G26:G39)</f>
        <v/>
      </c>
      <c r="H40" s="1" t="n"/>
      <c r="I40" s="1" t="n"/>
      <c r="J40" s="1" t="n"/>
      <c r="K40" s="1" t="n"/>
      <c r="L40" s="1" t="n"/>
      <c r="M40" s="1" t="n"/>
    </row>
    <row r="41">
      <c r="A41" s="1" t="n"/>
      <c r="B41" s="1" t="n"/>
      <c r="C41" s="1" t="n"/>
      <c r="D41" s="1" t="n"/>
      <c r="E41" s="1" t="n"/>
      <c r="F41" s="1" t="n"/>
      <c r="G41" s="1" t="n"/>
      <c r="H41" s="1" t="n"/>
      <c r="I41" s="1" t="n"/>
      <c r="J41" s="1" t="n"/>
      <c r="K41" s="1" t="n"/>
      <c r="L41" s="1" t="n"/>
      <c r="M41" s="1" t="n"/>
    </row>
    <row r="42">
      <c r="A42" s="1" t="n"/>
      <c r="B42" s="1" t="n"/>
      <c r="C42" s="1" t="n"/>
      <c r="D42" s="1" t="n"/>
      <c r="E42" s="1" t="n"/>
      <c r="F42" s="1" t="n"/>
      <c r="G42" s="1" t="n"/>
      <c r="H42" s="1" t="n"/>
      <c r="I42" s="1" t="n"/>
      <c r="J42" s="1" t="n"/>
      <c r="K42" s="1" t="n"/>
      <c r="L42" s="1" t="n"/>
      <c r="M42" s="1" t="n"/>
    </row>
    <row r="43">
      <c r="A43" s="1" t="n"/>
      <c r="B43" s="1" t="n"/>
      <c r="C43" s="1" t="n"/>
      <c r="D43" s="1" t="n"/>
      <c r="E43" s="1" t="n"/>
      <c r="F43" s="1" t="n"/>
      <c r="G43" s="1" t="n"/>
      <c r="H43" s="1" t="n"/>
      <c r="I43" s="1" t="n"/>
      <c r="J43" s="1" t="n"/>
      <c r="K43" s="1" t="n"/>
      <c r="L43" s="1" t="n"/>
      <c r="M43" s="1" t="n"/>
    </row>
    <row r="44">
      <c r="A44" s="1" t="n"/>
      <c r="B44" s="1" t="n"/>
      <c r="C44" s="1" t="n"/>
      <c r="D44" s="1" t="n"/>
      <c r="E44" s="1" t="n"/>
      <c r="F44" s="1" t="n"/>
      <c r="G44" s="1" t="n"/>
      <c r="H44" s="1" t="n"/>
      <c r="I44" s="1" t="n"/>
      <c r="J44" s="1" t="n"/>
      <c r="K44" s="1" t="n"/>
      <c r="L44" s="1" t="n"/>
      <c r="M44" s="1" t="n"/>
    </row>
    <row r="45">
      <c r="A45" s="1" t="n"/>
      <c r="B45" s="1" t="n"/>
      <c r="C45" s="1" t="n"/>
      <c r="D45" s="1" t="n"/>
      <c r="E45" s="1" t="n"/>
      <c r="F45" s="1" t="n"/>
      <c r="G45" s="1" t="n"/>
      <c r="H45" s="1" t="n"/>
      <c r="I45" s="1" t="n"/>
      <c r="J45" s="1" t="n"/>
      <c r="K45" s="1" t="n"/>
      <c r="L45" s="1" t="n"/>
      <c r="M45" s="1" t="n"/>
    </row>
    <row r="46">
      <c r="A46" s="1" t="n"/>
      <c r="B46" s="1" t="n"/>
      <c r="C46" s="1" t="n"/>
      <c r="D46" s="1" t="n"/>
      <c r="E46" s="1" t="n"/>
      <c r="F46" s="1" t="n"/>
      <c r="G46" s="1" t="n"/>
      <c r="H46" s="1" t="n"/>
      <c r="I46" s="1" t="n"/>
      <c r="J46" s="1" t="n"/>
      <c r="K46" s="1" t="n"/>
      <c r="L46" s="1" t="n"/>
      <c r="M46" s="1" t="n"/>
    </row>
    <row r="47">
      <c r="A47" s="1" t="n"/>
      <c r="B47" s="1" t="n"/>
      <c r="C47" s="1" t="n"/>
      <c r="D47" s="1" t="n"/>
      <c r="E47" s="1" t="n"/>
      <c r="F47" s="1" t="n"/>
      <c r="G47" s="1" t="n"/>
      <c r="H47" s="1" t="n"/>
      <c r="I47" s="1" t="n"/>
      <c r="J47" s="1" t="n"/>
      <c r="K47" s="1" t="n"/>
      <c r="L47" s="1" t="n"/>
      <c r="M47" s="1" t="n"/>
    </row>
    <row r="48">
      <c r="A48" s="1" t="n"/>
      <c r="B48" s="1" t="n"/>
      <c r="C48" s="1" t="n"/>
      <c r="D48" s="1" t="n"/>
      <c r="E48" s="1" t="n"/>
      <c r="F48" s="1" t="n"/>
      <c r="G48" s="1" t="n"/>
      <c r="H48" s="1" t="n"/>
      <c r="I48" s="1" t="n"/>
      <c r="J48" s="1" t="n"/>
      <c r="K48" s="1" t="n"/>
      <c r="L48" s="1" t="n"/>
      <c r="M48" s="1" t="n"/>
    </row>
    <row r="49">
      <c r="A49" s="1" t="n"/>
      <c r="B49" s="1" t="n"/>
      <c r="C49" s="1" t="n"/>
      <c r="D49" s="1" t="n"/>
      <c r="E49" s="1" t="n"/>
      <c r="F49" s="1" t="n"/>
      <c r="G49" s="1" t="n"/>
      <c r="H49" s="1" t="n"/>
      <c r="I49" s="1" t="n"/>
      <c r="J49" s="1" t="n"/>
      <c r="K49" s="1" t="n"/>
      <c r="L49" s="1" t="n"/>
      <c r="M49" s="1" t="n"/>
    </row>
    <row r="50">
      <c r="A50" s="1" t="n"/>
      <c r="B50" s="1" t="n"/>
      <c r="C50" s="1" t="n"/>
      <c r="D50" s="1" t="n"/>
      <c r="E50" s="1" t="n"/>
      <c r="F50" s="1" t="n"/>
      <c r="G50" s="1" t="n"/>
      <c r="H50" s="1" t="n"/>
      <c r="I50" s="1" t="n"/>
      <c r="J50" s="1" t="n"/>
      <c r="K50" s="1" t="n"/>
      <c r="L50" s="1" t="n"/>
      <c r="M50" s="1" t="n"/>
    </row>
    <row r="51">
      <c r="A51" s="1" t="n"/>
      <c r="B51" s="1" t="n"/>
      <c r="C51" s="1" t="n"/>
      <c r="D51" s="1" t="n"/>
      <c r="E51" s="1" t="n"/>
      <c r="F51" s="1" t="n"/>
      <c r="G51" s="1" t="n"/>
      <c r="H51" s="1" t="n"/>
      <c r="I51" s="1" t="n"/>
      <c r="J51" s="1" t="n"/>
      <c r="K51" s="1" t="n"/>
      <c r="L51" s="1" t="n"/>
      <c r="M51" s="1" t="n"/>
    </row>
    <row r="52">
      <c r="A52" s="1" t="n"/>
      <c r="B52" s="1" t="n"/>
      <c r="C52" s="1" t="n"/>
      <c r="D52" s="1" t="n"/>
      <c r="E52" s="1" t="n"/>
      <c r="F52" s="1" t="n"/>
      <c r="G52" s="1" t="n"/>
      <c r="H52" s="1" t="n"/>
      <c r="I52" s="1" t="n"/>
      <c r="J52" s="1" t="n"/>
      <c r="K52" s="1" t="n"/>
      <c r="L52" s="1" t="n"/>
      <c r="M52" s="1" t="n"/>
    </row>
    <row r="53">
      <c r="A53" s="1" t="n"/>
      <c r="B53" s="1" t="n"/>
      <c r="C53" s="1" t="n"/>
      <c r="D53" s="1" t="n"/>
      <c r="E53" s="1" t="n"/>
      <c r="F53" s="1" t="n"/>
      <c r="G53" s="1" t="n"/>
      <c r="H53" s="1" t="n"/>
      <c r="I53" s="1" t="n"/>
      <c r="J53" s="1" t="n"/>
      <c r="K53" s="1" t="n"/>
      <c r="L53" s="1" t="n"/>
      <c r="M53" s="1" t="n"/>
    </row>
    <row r="54">
      <c r="A54" s="1" t="n"/>
      <c r="B54" s="1" t="n"/>
      <c r="C54" s="1" t="n"/>
      <c r="D54" s="1" t="n"/>
      <c r="E54" s="1" t="n"/>
      <c r="F54" s="1" t="n"/>
      <c r="G54" s="1" t="n"/>
      <c r="H54" s="1" t="n"/>
      <c r="I54" s="1" t="n"/>
      <c r="J54" s="1" t="n"/>
      <c r="K54" s="1" t="n"/>
      <c r="L54" s="1" t="n"/>
      <c r="M54" s="1" t="n"/>
    </row>
    <row r="55">
      <c r="A55" s="1" t="n"/>
      <c r="B55" s="1" t="n"/>
      <c r="C55" s="1" t="n"/>
      <c r="D55" s="1" t="n"/>
      <c r="E55" s="1" t="n"/>
      <c r="F55" s="1" t="n"/>
      <c r="G55" s="1" t="n"/>
      <c r="H55" s="1" t="n"/>
      <c r="I55" s="1" t="n"/>
      <c r="J55" s="1" t="n"/>
      <c r="K55" s="1" t="n"/>
      <c r="L55" s="1" t="n"/>
      <c r="M55" s="1" t="n"/>
    </row>
    <row r="56">
      <c r="A56" s="1" t="n"/>
      <c r="B56" s="1" t="n"/>
      <c r="C56" s="1" t="n"/>
      <c r="D56" s="1" t="n"/>
      <c r="E56" s="1" t="n"/>
      <c r="F56" s="1" t="n"/>
      <c r="G56" s="1" t="n"/>
      <c r="H56" s="1" t="n"/>
      <c r="I56" s="1" t="n"/>
      <c r="J56" s="1" t="n"/>
      <c r="K56" s="1" t="n"/>
      <c r="L56" s="1" t="n"/>
      <c r="M56" s="1" t="n"/>
    </row>
    <row r="57">
      <c r="A57" s="1" t="n"/>
      <c r="B57" s="1" t="n"/>
      <c r="C57" s="1" t="n"/>
      <c r="D57" s="1" t="n"/>
      <c r="E57" s="1" t="n"/>
      <c r="F57" s="1" t="n"/>
      <c r="G57" s="1" t="n"/>
      <c r="H57" s="1" t="n"/>
      <c r="I57" s="1" t="n"/>
      <c r="J57" s="1" t="n"/>
      <c r="K57" s="1" t="n"/>
      <c r="L57" s="1" t="n"/>
      <c r="M57" s="1" t="n"/>
    </row>
    <row r="58">
      <c r="A58" s="1" t="n"/>
      <c r="B58" s="1" t="n"/>
      <c r="C58" s="1" t="n"/>
      <c r="D58" s="1" t="n"/>
      <c r="E58" s="1" t="n"/>
      <c r="F58" s="1" t="n"/>
      <c r="G58" s="1" t="n"/>
      <c r="H58" s="1" t="n"/>
      <c r="I58" s="1" t="n"/>
      <c r="J58" s="1" t="n"/>
      <c r="K58" s="1" t="n"/>
      <c r="L58" s="1" t="n"/>
      <c r="M58" s="1" t="n"/>
    </row>
    <row r="59">
      <c r="A59" s="1" t="n"/>
      <c r="B59" s="1" t="n"/>
      <c r="C59" s="1" t="n"/>
      <c r="D59" s="1" t="n"/>
      <c r="E59" s="1" t="n"/>
      <c r="F59" s="1" t="n"/>
      <c r="G59" s="1" t="n"/>
      <c r="H59" s="1" t="n"/>
      <c r="I59" s="1" t="n"/>
      <c r="J59" s="1" t="n"/>
      <c r="K59" s="1" t="n"/>
      <c r="L59" s="1" t="n"/>
      <c r="M59" s="1" t="n"/>
    </row>
    <row r="60">
      <c r="A60" s="1" t="n"/>
      <c r="B60" s="1" t="n"/>
      <c r="C60" s="1" t="n"/>
      <c r="D60" s="1" t="n"/>
      <c r="E60" s="1" t="n"/>
      <c r="F60" s="1" t="n"/>
      <c r="G60" s="1" t="n"/>
      <c r="H60" s="1" t="n"/>
      <c r="I60" s="1" t="n"/>
      <c r="J60" s="1" t="n"/>
      <c r="K60" s="1" t="n"/>
      <c r="L60" s="1" t="n"/>
      <c r="M60" s="1" t="n"/>
    </row>
  </sheetData>
  <mergeCells count="21">
    <mergeCell ref="F11:G11"/>
    <mergeCell ref="B9:C10"/>
    <mergeCell ref="D9:E10"/>
    <mergeCell ref="F9:G10"/>
    <mergeCell ref="B11:C11"/>
    <mergeCell ref="G14:L14"/>
    <mergeCell ref="D11:E11"/>
    <mergeCell ref="G15:L19"/>
    <mergeCell ref="B8:C8"/>
    <mergeCell ref="B23:L23"/>
    <mergeCell ref="F8:G8"/>
    <mergeCell ref="H11:I11"/>
    <mergeCell ref="B4:L5"/>
    <mergeCell ref="B20:E21"/>
    <mergeCell ref="B14:E14"/>
    <mergeCell ref="H9:I10"/>
    <mergeCell ref="D8:E8"/>
    <mergeCell ref="B6:L6"/>
    <mergeCell ref="B24:L24"/>
    <mergeCell ref="H8:I8"/>
    <mergeCell ref="B2:J2"/>
  </mergeCells>
  <hyperlinks>
    <hyperlink xmlns:r="http://schemas.openxmlformats.org/officeDocument/2006/relationships" ref="L1" r:id="rId1"/>
  </hyperlinks>
  <printOptions horizontalCentered="0"/>
  <pageMargins left="0.75" right="0.75" top="1" bottom="1" header="0.5" footer="0.5"/>
  <pageSetup orientation="landscape" fitToHeight="0" fitToWidth="1"/>
  <drawing xmlns:r="http://schemas.openxmlformats.org/officeDocument/2006/relationships" r:id="rId2"/>
</worksheet>
</file>

<file path=xl/worksheets/sheet5.xml><?xml version="1.0" encoding="utf-8"?>
<worksheet xmlns="http://schemas.openxmlformats.org/spreadsheetml/2006/main">
  <sheetPr>
    <tabColor rgb="001C2B45"/>
    <outlinePr summaryBelow="1" summaryRight="1"/>
    <pageSetUpPr fitToPage="1"/>
  </sheetPr>
  <dimension ref="A1:L25"/>
  <sheetViews>
    <sheetView showGridLines="0" workbookViewId="0">
      <pane ySplit="4" topLeftCell="A5" activePane="bottomLeft" state="frozen"/>
      <selection pane="bottomLeft" activeCell="A1" sqref="A1"/>
    </sheetView>
  </sheetViews>
  <sheetFormatPr baseColWidth="8" defaultRowHeight="15"/>
  <cols>
    <col width="26" customWidth="1" min="1" max="1"/>
    <col width="18" customWidth="1" min="2" max="2"/>
    <col width="14" customWidth="1" min="3" max="3"/>
    <col width="14" customWidth="1" min="4" max="4"/>
    <col width="14" customWidth="1" min="5" max="5"/>
    <col width="14" customWidth="1" min="6" max="6"/>
    <col width="16" customWidth="1" min="7" max="7"/>
    <col width="14" customWidth="1" min="8" max="8"/>
    <col width="12" customWidth="1" min="9" max="9"/>
    <col width="14" customWidth="1" min="10" max="10"/>
    <col width="14" customWidth="1" min="11" max="11"/>
  </cols>
  <sheetData>
    <row r="1">
      <c r="A1" s="60" t="inlineStr">
        <is>
          <t>Entity Register — driven by 01 Exec Summary's fiscal-year selector</t>
        </is>
      </c>
      <c r="B1" s="50" t="n"/>
      <c r="C1" s="50" t="n"/>
      <c r="D1" s="50" t="n"/>
      <c r="E1" s="50" t="n"/>
      <c r="F1" s="50" t="n"/>
      <c r="G1" s="50" t="n"/>
      <c r="H1" s="50" t="n"/>
      <c r="I1" s="50" t="n"/>
      <c r="J1" s="50" t="n"/>
      <c r="K1" s="50" t="n"/>
      <c r="L1" s="1" t="n"/>
    </row>
    <row r="2">
      <c r="B2" s="50" t="n"/>
      <c r="C2" s="50" t="n"/>
      <c r="D2" s="50" t="n"/>
      <c r="E2" s="50" t="n"/>
      <c r="F2" s="50" t="n"/>
      <c r="G2" s="50" t="n"/>
      <c r="H2" s="50" t="n"/>
      <c r="I2" s="50" t="n"/>
      <c r="J2" s="50" t="n"/>
      <c r="K2" s="50" t="n"/>
      <c r="L2" s="1" t="n"/>
    </row>
    <row r="3">
      <c r="A3" s="48" t="inlineStr">
        <is>
          <t>← 01 Exec Summary</t>
        </is>
      </c>
      <c r="B3" s="1" t="n"/>
      <c r="C3" s="1" t="n"/>
      <c r="D3" s="1" t="n"/>
      <c r="E3" s="1" t="n"/>
      <c r="F3" s="1" t="n"/>
      <c r="G3" s="1" t="n"/>
      <c r="H3" s="1" t="n"/>
      <c r="I3" s="1" t="n"/>
      <c r="J3" s="1" t="n"/>
      <c r="K3" s="1" t="n"/>
      <c r="L3" s="1" t="n"/>
    </row>
    <row r="4">
      <c r="A4" s="45" t="inlineStr">
        <is>
          <t>EntityName</t>
        </is>
      </c>
      <c r="B4" s="45" t="inlineStr">
        <is>
          <t>Industry</t>
        </is>
      </c>
      <c r="C4" s="45" t="inlineStr">
        <is>
          <t>Revenue</t>
        </is>
      </c>
      <c r="D4" s="45" t="inlineStr">
        <is>
          <t>COGS</t>
        </is>
      </c>
      <c r="E4" s="45" t="inlineStr">
        <is>
          <t>Payroll</t>
        </is>
      </c>
      <c r="F4" s="45" t="inlineStr">
        <is>
          <t>Occupancy</t>
        </is>
      </c>
      <c r="G4" s="45" t="inlineStr">
        <is>
          <t>Interest &amp; Financing</t>
        </is>
      </c>
      <c r="H4" s="45" t="inlineStr">
        <is>
          <t>Amortization</t>
        </is>
      </c>
      <c r="I4" s="45" t="inlineStr">
        <is>
          <t>Income Tax</t>
        </is>
      </c>
      <c r="J4" s="45" t="inlineStr">
        <is>
          <t>EBITDA</t>
        </is>
      </c>
      <c r="K4" s="45" t="inlineStr">
        <is>
          <t>Net Income</t>
        </is>
      </c>
      <c r="L4" s="1" t="n"/>
    </row>
    <row r="5">
      <c r="A5" s="1" t="inlineStr">
        <is>
          <t>9357-7427 Québec Inc. - Sandhu H.</t>
        </is>
      </c>
      <c r="B5" s="1" t="inlineStr">
        <is>
          <t>Construction</t>
        </is>
      </c>
      <c r="C5" s="44">
        <f>-SUMIFS(Fact_TrialBalance[Amount],Fact_TrialBalance[EntityId],"9357-7427 QI",Fact_TrialBalance[Category],"Operating Revenue",Fact_TrialBalance[FiscalYear],'01 Exec Summary'!$K$2)</f>
        <v/>
      </c>
      <c r="D5" s="44">
        <f>SUMIFS(Fact_TrialBalance[Amount],Fact_TrialBalance[EntityId],"9357-7427 QI",Fact_TrialBalance[Category],"COGS",Fact_TrialBalance[FiscalYear],'01 Exec Summary'!$K$2)</f>
        <v/>
      </c>
      <c r="E5" s="44">
        <f>SUMIFS(Fact_TrialBalance[Amount],Fact_TrialBalance[EntityId],"9357-7427 QI",Fact_TrialBalance[Category],"Payroll &amp; Benefits",Fact_TrialBalance[FiscalYear],'01 Exec Summary'!$K$2)</f>
        <v/>
      </c>
      <c r="F5" s="44">
        <f>SUMIFS(Fact_TrialBalance[Amount],Fact_TrialBalance[EntityId],"9357-7427 QI",Fact_TrialBalance[Category],"Occupancy",Fact_TrialBalance[FiscalYear],'01 Exec Summary'!$K$2)</f>
        <v/>
      </c>
      <c r="G5" s="44">
        <f>SUMIFS(Fact_TrialBalance[Amount],Fact_TrialBalance[EntityId],"9357-7427 QI",Fact_TrialBalance[Category],"Interest &amp; Financing",Fact_TrialBalance[FiscalYear],'01 Exec Summary'!$K$2)</f>
        <v/>
      </c>
      <c r="H5" s="44">
        <f>SUMIFS(Fact_TrialBalance[Amount],Fact_TrialBalance[EntityId],"9357-7427 QI",Fact_TrialBalance[Category],"Amortization",Fact_TrialBalance[FiscalYear],'01 Exec Summary'!$K$2)</f>
        <v/>
      </c>
      <c r="I5" s="44">
        <f>SUMIFS(Fact_TrialBalance[Amount],Fact_TrialBalance[EntityId],"9357-7427 QI",Fact_TrialBalance[Category],"Income Tax",Fact_TrialBalance[FiscalYear],'01 Exec Summary'!$K$2)</f>
        <v/>
      </c>
      <c r="J5" s="44">
        <f>-(SUMIFS(Fact_TrialBalance[Amount],Fact_TrialBalance[EntityId],"9357-7427 QI",Fact_TrialBalance[FiscalYear],'01 Exec Summary'!$K$2)-SUMPRODUCT((Fact_TrialBalance[EntityId]="9357-7427 QI")*(Fact_TrialBalance[FiscalYear]='01 Exec Summary'!$K$2)*(ISNUMBER(MATCH(Fact_TrialBalance[Category],{"Interest &amp; Financing","Amortization","Income Tax"},0)))*Fact_TrialBalance[Amount]))</f>
        <v/>
      </c>
      <c r="K5" s="44">
        <f>-SUMIFS(Fact_TrialBalance[Amount],Fact_TrialBalance[EntityId],"9357-7427 QI",Fact_TrialBalance[FiscalYear],'01 Exec Summary'!$K$2)</f>
        <v/>
      </c>
      <c r="L5" s="1" t="n"/>
    </row>
    <row r="6">
      <c r="A6" s="1" t="inlineStr">
        <is>
          <t>9366-1676 Québec Inc. - Sandhu G.</t>
        </is>
      </c>
      <c r="B6" s="1" t="inlineStr">
        <is>
          <t>Real estate</t>
        </is>
      </c>
      <c r="C6" s="44">
        <f>-SUMIFS(Fact_TrialBalance[Amount],Fact_TrialBalance[EntityId],"9366-1676 QI",Fact_TrialBalance[Category],"Operating Revenue",Fact_TrialBalance[FiscalYear],'01 Exec Summary'!$K$2)</f>
        <v/>
      </c>
      <c r="D6" s="44">
        <f>SUMIFS(Fact_TrialBalance[Amount],Fact_TrialBalance[EntityId],"9366-1676 QI",Fact_TrialBalance[Category],"COGS",Fact_TrialBalance[FiscalYear],'01 Exec Summary'!$K$2)</f>
        <v/>
      </c>
      <c r="E6" s="44">
        <f>SUMIFS(Fact_TrialBalance[Amount],Fact_TrialBalance[EntityId],"9366-1676 QI",Fact_TrialBalance[Category],"Payroll &amp; Benefits",Fact_TrialBalance[FiscalYear],'01 Exec Summary'!$K$2)</f>
        <v/>
      </c>
      <c r="F6" s="44">
        <f>SUMIFS(Fact_TrialBalance[Amount],Fact_TrialBalance[EntityId],"9366-1676 QI",Fact_TrialBalance[Category],"Occupancy",Fact_TrialBalance[FiscalYear],'01 Exec Summary'!$K$2)</f>
        <v/>
      </c>
      <c r="G6" s="44">
        <f>SUMIFS(Fact_TrialBalance[Amount],Fact_TrialBalance[EntityId],"9366-1676 QI",Fact_TrialBalance[Category],"Interest &amp; Financing",Fact_TrialBalance[FiscalYear],'01 Exec Summary'!$K$2)</f>
        <v/>
      </c>
      <c r="H6" s="44">
        <f>SUMIFS(Fact_TrialBalance[Amount],Fact_TrialBalance[EntityId],"9366-1676 QI",Fact_TrialBalance[Category],"Amortization",Fact_TrialBalance[FiscalYear],'01 Exec Summary'!$K$2)</f>
        <v/>
      </c>
      <c r="I6" s="44">
        <f>SUMIFS(Fact_TrialBalance[Amount],Fact_TrialBalance[EntityId],"9366-1676 QI",Fact_TrialBalance[Category],"Income Tax",Fact_TrialBalance[FiscalYear],'01 Exec Summary'!$K$2)</f>
        <v/>
      </c>
      <c r="J6" s="44">
        <f>-(SUMIFS(Fact_TrialBalance[Amount],Fact_TrialBalance[EntityId],"9366-1676 QI",Fact_TrialBalance[FiscalYear],'01 Exec Summary'!$K$2)-SUMPRODUCT((Fact_TrialBalance[EntityId]="9366-1676 QI")*(Fact_TrialBalance[FiscalYear]='01 Exec Summary'!$K$2)*(ISNUMBER(MATCH(Fact_TrialBalance[Category],{"Interest &amp; Financing","Amortization","Income Tax"},0)))*Fact_TrialBalance[Amount]))</f>
        <v/>
      </c>
      <c r="K6" s="44">
        <f>-SUMIFS(Fact_TrialBalance[Amount],Fact_TrialBalance[EntityId],"9366-1676 QI",Fact_TrialBalance[FiscalYear],'01 Exec Summary'!$K$2)</f>
        <v/>
      </c>
      <c r="L6" s="1" t="n"/>
    </row>
    <row r="7">
      <c r="A7" s="1" t="inlineStr">
        <is>
          <t>9425-4547 Québec Inc. - Sandhu G</t>
        </is>
      </c>
      <c r="B7" s="1" t="inlineStr">
        <is>
          <t>Real estate</t>
        </is>
      </c>
      <c r="C7" s="44">
        <f>-SUMIFS(Fact_TrialBalance[Amount],Fact_TrialBalance[EntityId],"9425-4547 QI",Fact_TrialBalance[Category],"Operating Revenue",Fact_TrialBalance[FiscalYear],'01 Exec Summary'!$K$2)</f>
        <v/>
      </c>
      <c r="D7" s="44">
        <f>SUMIFS(Fact_TrialBalance[Amount],Fact_TrialBalance[EntityId],"9425-4547 QI",Fact_TrialBalance[Category],"COGS",Fact_TrialBalance[FiscalYear],'01 Exec Summary'!$K$2)</f>
        <v/>
      </c>
      <c r="E7" s="44">
        <f>SUMIFS(Fact_TrialBalance[Amount],Fact_TrialBalance[EntityId],"9425-4547 QI",Fact_TrialBalance[Category],"Payroll &amp; Benefits",Fact_TrialBalance[FiscalYear],'01 Exec Summary'!$K$2)</f>
        <v/>
      </c>
      <c r="F7" s="44">
        <f>SUMIFS(Fact_TrialBalance[Amount],Fact_TrialBalance[EntityId],"9425-4547 QI",Fact_TrialBalance[Category],"Occupancy",Fact_TrialBalance[FiscalYear],'01 Exec Summary'!$K$2)</f>
        <v/>
      </c>
      <c r="G7" s="44">
        <f>SUMIFS(Fact_TrialBalance[Amount],Fact_TrialBalance[EntityId],"9425-4547 QI",Fact_TrialBalance[Category],"Interest &amp; Financing",Fact_TrialBalance[FiscalYear],'01 Exec Summary'!$K$2)</f>
        <v/>
      </c>
      <c r="H7" s="44">
        <f>SUMIFS(Fact_TrialBalance[Amount],Fact_TrialBalance[EntityId],"9425-4547 QI",Fact_TrialBalance[Category],"Amortization",Fact_TrialBalance[FiscalYear],'01 Exec Summary'!$K$2)</f>
        <v/>
      </c>
      <c r="I7" s="44">
        <f>SUMIFS(Fact_TrialBalance[Amount],Fact_TrialBalance[EntityId],"9425-4547 QI",Fact_TrialBalance[Category],"Income Tax",Fact_TrialBalance[FiscalYear],'01 Exec Summary'!$K$2)</f>
        <v/>
      </c>
      <c r="J7" s="44">
        <f>-(SUMIFS(Fact_TrialBalance[Amount],Fact_TrialBalance[EntityId],"9425-4547 QI",Fact_TrialBalance[FiscalYear],'01 Exec Summary'!$K$2)-SUMPRODUCT((Fact_TrialBalance[EntityId]="9425-4547 QI")*(Fact_TrialBalance[FiscalYear]='01 Exec Summary'!$K$2)*(ISNUMBER(MATCH(Fact_TrialBalance[Category],{"Interest &amp; Financing","Amortization","Income Tax"},0)))*Fact_TrialBalance[Amount]))</f>
        <v/>
      </c>
      <c r="K7" s="44">
        <f>-SUMIFS(Fact_TrialBalance[Amount],Fact_TrialBalance[EntityId],"9425-4547 QI",Fact_TrialBalance[FiscalYear],'01 Exec Summary'!$K$2)</f>
        <v/>
      </c>
      <c r="L7" s="1" t="n"/>
    </row>
    <row r="8">
      <c r="A8" s="1" t="inlineStr">
        <is>
          <t>9455-4169 Québec Inc. - Sandhu</t>
        </is>
      </c>
      <c r="B8" s="1" t="inlineStr">
        <is>
          <t>Investments</t>
        </is>
      </c>
      <c r="C8" s="44">
        <f>-SUMIFS(Fact_TrialBalance[Amount],Fact_TrialBalance[EntityId],"9455-4169 QI",Fact_TrialBalance[Category],"Operating Revenue",Fact_TrialBalance[FiscalYear],'01 Exec Summary'!$K$2)</f>
        <v/>
      </c>
      <c r="D8" s="44">
        <f>SUMIFS(Fact_TrialBalance[Amount],Fact_TrialBalance[EntityId],"9455-4169 QI",Fact_TrialBalance[Category],"COGS",Fact_TrialBalance[FiscalYear],'01 Exec Summary'!$K$2)</f>
        <v/>
      </c>
      <c r="E8" s="44">
        <f>SUMIFS(Fact_TrialBalance[Amount],Fact_TrialBalance[EntityId],"9455-4169 QI",Fact_TrialBalance[Category],"Payroll &amp; Benefits",Fact_TrialBalance[FiscalYear],'01 Exec Summary'!$K$2)</f>
        <v/>
      </c>
      <c r="F8" s="44">
        <f>SUMIFS(Fact_TrialBalance[Amount],Fact_TrialBalance[EntityId],"9455-4169 QI",Fact_TrialBalance[Category],"Occupancy",Fact_TrialBalance[FiscalYear],'01 Exec Summary'!$K$2)</f>
        <v/>
      </c>
      <c r="G8" s="44">
        <f>SUMIFS(Fact_TrialBalance[Amount],Fact_TrialBalance[EntityId],"9455-4169 QI",Fact_TrialBalance[Category],"Interest &amp; Financing",Fact_TrialBalance[FiscalYear],'01 Exec Summary'!$K$2)</f>
        <v/>
      </c>
      <c r="H8" s="44">
        <f>SUMIFS(Fact_TrialBalance[Amount],Fact_TrialBalance[EntityId],"9455-4169 QI",Fact_TrialBalance[Category],"Amortization",Fact_TrialBalance[FiscalYear],'01 Exec Summary'!$K$2)</f>
        <v/>
      </c>
      <c r="I8" s="44">
        <f>SUMIFS(Fact_TrialBalance[Amount],Fact_TrialBalance[EntityId],"9455-4169 QI",Fact_TrialBalance[Category],"Income Tax",Fact_TrialBalance[FiscalYear],'01 Exec Summary'!$K$2)</f>
        <v/>
      </c>
      <c r="J8" s="44">
        <f>-(SUMIFS(Fact_TrialBalance[Amount],Fact_TrialBalance[EntityId],"9455-4169 QI",Fact_TrialBalance[FiscalYear],'01 Exec Summary'!$K$2)-SUMPRODUCT((Fact_TrialBalance[EntityId]="9455-4169 QI")*(Fact_TrialBalance[FiscalYear]='01 Exec Summary'!$K$2)*(ISNUMBER(MATCH(Fact_TrialBalance[Category],{"Interest &amp; Financing","Amortization","Income Tax"},0)))*Fact_TrialBalance[Amount]))</f>
        <v/>
      </c>
      <c r="K8" s="44">
        <f>-SUMIFS(Fact_TrialBalance[Amount],Fact_TrialBalance[EntityId],"9455-4169 QI",Fact_TrialBalance[FiscalYear],'01 Exec Summary'!$K$2)</f>
        <v/>
      </c>
      <c r="L8" s="1" t="n"/>
    </row>
    <row r="9">
      <c r="A9" s="1" t="inlineStr">
        <is>
          <t>9455-4177 Québec Inc. - Sandhu H.</t>
        </is>
      </c>
      <c r="B9" s="1" t="inlineStr">
        <is>
          <t>Investments</t>
        </is>
      </c>
      <c r="C9" s="44">
        <f>-SUMIFS(Fact_TrialBalance[Amount],Fact_TrialBalance[EntityId],"9455-4177 QI",Fact_TrialBalance[Category],"Operating Revenue",Fact_TrialBalance[FiscalYear],'01 Exec Summary'!$K$2)</f>
        <v/>
      </c>
      <c r="D9" s="44">
        <f>SUMIFS(Fact_TrialBalance[Amount],Fact_TrialBalance[EntityId],"9455-4177 QI",Fact_TrialBalance[Category],"COGS",Fact_TrialBalance[FiscalYear],'01 Exec Summary'!$K$2)</f>
        <v/>
      </c>
      <c r="E9" s="44">
        <f>SUMIFS(Fact_TrialBalance[Amount],Fact_TrialBalance[EntityId],"9455-4177 QI",Fact_TrialBalance[Category],"Payroll &amp; Benefits",Fact_TrialBalance[FiscalYear],'01 Exec Summary'!$K$2)</f>
        <v/>
      </c>
      <c r="F9" s="44">
        <f>SUMIFS(Fact_TrialBalance[Amount],Fact_TrialBalance[EntityId],"9455-4177 QI",Fact_TrialBalance[Category],"Occupancy",Fact_TrialBalance[FiscalYear],'01 Exec Summary'!$K$2)</f>
        <v/>
      </c>
      <c r="G9" s="44">
        <f>SUMIFS(Fact_TrialBalance[Amount],Fact_TrialBalance[EntityId],"9455-4177 QI",Fact_TrialBalance[Category],"Interest &amp; Financing",Fact_TrialBalance[FiscalYear],'01 Exec Summary'!$K$2)</f>
        <v/>
      </c>
      <c r="H9" s="44">
        <f>SUMIFS(Fact_TrialBalance[Amount],Fact_TrialBalance[EntityId],"9455-4177 QI",Fact_TrialBalance[Category],"Amortization",Fact_TrialBalance[FiscalYear],'01 Exec Summary'!$K$2)</f>
        <v/>
      </c>
      <c r="I9" s="44">
        <f>SUMIFS(Fact_TrialBalance[Amount],Fact_TrialBalance[EntityId],"9455-4177 QI",Fact_TrialBalance[Category],"Income Tax",Fact_TrialBalance[FiscalYear],'01 Exec Summary'!$K$2)</f>
        <v/>
      </c>
      <c r="J9" s="44">
        <f>-(SUMIFS(Fact_TrialBalance[Amount],Fact_TrialBalance[EntityId],"9455-4177 QI",Fact_TrialBalance[FiscalYear],'01 Exec Summary'!$K$2)-SUMPRODUCT((Fact_TrialBalance[EntityId]="9455-4177 QI")*(Fact_TrialBalance[FiscalYear]='01 Exec Summary'!$K$2)*(ISNUMBER(MATCH(Fact_TrialBalance[Category],{"Interest &amp; Financing","Amortization","Income Tax"},0)))*Fact_TrialBalance[Amount]))</f>
        <v/>
      </c>
      <c r="K9" s="44">
        <f>-SUMIFS(Fact_TrialBalance[Amount],Fact_TrialBalance[EntityId],"9455-4177 QI",Fact_TrialBalance[FiscalYear],'01 Exec Summary'!$K$2)</f>
        <v/>
      </c>
      <c r="L9" s="1" t="n"/>
    </row>
    <row r="10">
      <c r="A10" s="1" t="inlineStr">
        <is>
          <t>9455-4201 Québec Inc. - Sandhu G</t>
        </is>
      </c>
      <c r="B10" s="1" t="inlineStr">
        <is>
          <t>Investments</t>
        </is>
      </c>
      <c r="C10" s="44">
        <f>-SUMIFS(Fact_TrialBalance[Amount],Fact_TrialBalance[EntityId],"9455-4201 QI",Fact_TrialBalance[Category],"Operating Revenue",Fact_TrialBalance[FiscalYear],'01 Exec Summary'!$K$2)</f>
        <v/>
      </c>
      <c r="D10" s="44">
        <f>SUMIFS(Fact_TrialBalance[Amount],Fact_TrialBalance[EntityId],"9455-4201 QI",Fact_TrialBalance[Category],"COGS",Fact_TrialBalance[FiscalYear],'01 Exec Summary'!$K$2)</f>
        <v/>
      </c>
      <c r="E10" s="44">
        <f>SUMIFS(Fact_TrialBalance[Amount],Fact_TrialBalance[EntityId],"9455-4201 QI",Fact_TrialBalance[Category],"Payroll &amp; Benefits",Fact_TrialBalance[FiscalYear],'01 Exec Summary'!$K$2)</f>
        <v/>
      </c>
      <c r="F10" s="44">
        <f>SUMIFS(Fact_TrialBalance[Amount],Fact_TrialBalance[EntityId],"9455-4201 QI",Fact_TrialBalance[Category],"Occupancy",Fact_TrialBalance[FiscalYear],'01 Exec Summary'!$K$2)</f>
        <v/>
      </c>
      <c r="G10" s="44">
        <f>SUMIFS(Fact_TrialBalance[Amount],Fact_TrialBalance[EntityId],"9455-4201 QI",Fact_TrialBalance[Category],"Interest &amp; Financing",Fact_TrialBalance[FiscalYear],'01 Exec Summary'!$K$2)</f>
        <v/>
      </c>
      <c r="H10" s="44">
        <f>SUMIFS(Fact_TrialBalance[Amount],Fact_TrialBalance[EntityId],"9455-4201 QI",Fact_TrialBalance[Category],"Amortization",Fact_TrialBalance[FiscalYear],'01 Exec Summary'!$K$2)</f>
        <v/>
      </c>
      <c r="I10" s="44">
        <f>SUMIFS(Fact_TrialBalance[Amount],Fact_TrialBalance[EntityId],"9455-4201 QI",Fact_TrialBalance[Category],"Income Tax",Fact_TrialBalance[FiscalYear],'01 Exec Summary'!$K$2)</f>
        <v/>
      </c>
      <c r="J10" s="44">
        <f>-(SUMIFS(Fact_TrialBalance[Amount],Fact_TrialBalance[EntityId],"9455-4201 QI",Fact_TrialBalance[FiscalYear],'01 Exec Summary'!$K$2)-SUMPRODUCT((Fact_TrialBalance[EntityId]="9455-4201 QI")*(Fact_TrialBalance[FiscalYear]='01 Exec Summary'!$K$2)*(ISNUMBER(MATCH(Fact_TrialBalance[Category],{"Interest &amp; Financing","Amortization","Income Tax"},0)))*Fact_TrialBalance[Amount]))</f>
        <v/>
      </c>
      <c r="K10" s="44">
        <f>-SUMIFS(Fact_TrialBalance[Amount],Fact_TrialBalance[EntityId],"9455-4201 QI",Fact_TrialBalance[FiscalYear],'01 Exec Summary'!$K$2)</f>
        <v/>
      </c>
      <c r="L10" s="1" t="n"/>
    </row>
    <row r="11">
      <c r="A11" s="1" t="inlineStr">
        <is>
          <t>Auberge du Carre St-Louis</t>
        </is>
      </c>
      <c r="B11" s="1" t="inlineStr">
        <is>
          <t>Hotel</t>
        </is>
      </c>
      <c r="C11" s="44">
        <f>-SUMIFS(Fact_TrialBalance[Amount],Fact_TrialBalance[EntityId],"9108-6876 QI",Fact_TrialBalance[Category],"Operating Revenue",Fact_TrialBalance[FiscalYear],'01 Exec Summary'!$K$2)</f>
        <v/>
      </c>
      <c r="D11" s="44">
        <f>SUMIFS(Fact_TrialBalance[Amount],Fact_TrialBalance[EntityId],"9108-6876 QI",Fact_TrialBalance[Category],"COGS",Fact_TrialBalance[FiscalYear],'01 Exec Summary'!$K$2)</f>
        <v/>
      </c>
      <c r="E11" s="44">
        <f>SUMIFS(Fact_TrialBalance[Amount],Fact_TrialBalance[EntityId],"9108-6876 QI",Fact_TrialBalance[Category],"Payroll &amp; Benefits",Fact_TrialBalance[FiscalYear],'01 Exec Summary'!$K$2)</f>
        <v/>
      </c>
      <c r="F11" s="44">
        <f>SUMIFS(Fact_TrialBalance[Amount],Fact_TrialBalance[EntityId],"9108-6876 QI",Fact_TrialBalance[Category],"Occupancy",Fact_TrialBalance[FiscalYear],'01 Exec Summary'!$K$2)</f>
        <v/>
      </c>
      <c r="G11" s="44">
        <f>SUMIFS(Fact_TrialBalance[Amount],Fact_TrialBalance[EntityId],"9108-6876 QI",Fact_TrialBalance[Category],"Interest &amp; Financing",Fact_TrialBalance[FiscalYear],'01 Exec Summary'!$K$2)</f>
        <v/>
      </c>
      <c r="H11" s="44">
        <f>SUMIFS(Fact_TrialBalance[Amount],Fact_TrialBalance[EntityId],"9108-6876 QI",Fact_TrialBalance[Category],"Amortization",Fact_TrialBalance[FiscalYear],'01 Exec Summary'!$K$2)</f>
        <v/>
      </c>
      <c r="I11" s="44">
        <f>SUMIFS(Fact_TrialBalance[Amount],Fact_TrialBalance[EntityId],"9108-6876 QI",Fact_TrialBalance[Category],"Income Tax",Fact_TrialBalance[FiscalYear],'01 Exec Summary'!$K$2)</f>
        <v/>
      </c>
      <c r="J11" s="44">
        <f>-(SUMIFS(Fact_TrialBalance[Amount],Fact_TrialBalance[EntityId],"9108-6876 QI",Fact_TrialBalance[FiscalYear],'01 Exec Summary'!$K$2)-SUMPRODUCT((Fact_TrialBalance[EntityId]="9108-6876 QI")*(Fact_TrialBalance[FiscalYear]='01 Exec Summary'!$K$2)*(ISNUMBER(MATCH(Fact_TrialBalance[Category],{"Interest &amp; Financing","Amortization","Income Tax"},0)))*Fact_TrialBalance[Amount]))</f>
        <v/>
      </c>
      <c r="K11" s="44">
        <f>-SUMIFS(Fact_TrialBalance[Amount],Fact_TrialBalance[EntityId],"9108-6876 QI",Fact_TrialBalance[FiscalYear],'01 Exec Summary'!$K$2)</f>
        <v/>
      </c>
      <c r="L11" s="1" t="n"/>
    </row>
    <row r="12">
      <c r="A12" s="1" t="inlineStr">
        <is>
          <t>Bistro Guru Inc.</t>
        </is>
      </c>
      <c r="B12" s="1" t="inlineStr">
        <is>
          <t>Restaurant</t>
        </is>
      </c>
      <c r="C12" s="44">
        <f>-SUMIFS(Fact_TrialBalance[Amount],Fact_TrialBalance[EntityId],"N/A_BisGur",Fact_TrialBalance[Category],"Operating Revenue",Fact_TrialBalance[FiscalYear],'01 Exec Summary'!$K$2)</f>
        <v/>
      </c>
      <c r="D12" s="44">
        <f>SUMIFS(Fact_TrialBalance[Amount],Fact_TrialBalance[EntityId],"N/A_BisGur",Fact_TrialBalance[Category],"COGS",Fact_TrialBalance[FiscalYear],'01 Exec Summary'!$K$2)</f>
        <v/>
      </c>
      <c r="E12" s="44">
        <f>SUMIFS(Fact_TrialBalance[Amount],Fact_TrialBalance[EntityId],"N/A_BisGur",Fact_TrialBalance[Category],"Payroll &amp; Benefits",Fact_TrialBalance[FiscalYear],'01 Exec Summary'!$K$2)</f>
        <v/>
      </c>
      <c r="F12" s="44">
        <f>SUMIFS(Fact_TrialBalance[Amount],Fact_TrialBalance[EntityId],"N/A_BisGur",Fact_TrialBalance[Category],"Occupancy",Fact_TrialBalance[FiscalYear],'01 Exec Summary'!$K$2)</f>
        <v/>
      </c>
      <c r="G12" s="44">
        <f>SUMIFS(Fact_TrialBalance[Amount],Fact_TrialBalance[EntityId],"N/A_BisGur",Fact_TrialBalance[Category],"Interest &amp; Financing",Fact_TrialBalance[FiscalYear],'01 Exec Summary'!$K$2)</f>
        <v/>
      </c>
      <c r="H12" s="44">
        <f>SUMIFS(Fact_TrialBalance[Amount],Fact_TrialBalance[EntityId],"N/A_BisGur",Fact_TrialBalance[Category],"Amortization",Fact_TrialBalance[FiscalYear],'01 Exec Summary'!$K$2)</f>
        <v/>
      </c>
      <c r="I12" s="44">
        <f>SUMIFS(Fact_TrialBalance[Amount],Fact_TrialBalance[EntityId],"N/A_BisGur",Fact_TrialBalance[Category],"Income Tax",Fact_TrialBalance[FiscalYear],'01 Exec Summary'!$K$2)</f>
        <v/>
      </c>
      <c r="J12" s="44">
        <f>-(SUMIFS(Fact_TrialBalance[Amount],Fact_TrialBalance[EntityId],"N/A_BisGur",Fact_TrialBalance[FiscalYear],'01 Exec Summary'!$K$2)-SUMPRODUCT((Fact_TrialBalance[EntityId]="N/A_BisGur")*(Fact_TrialBalance[FiscalYear]='01 Exec Summary'!$K$2)*(ISNUMBER(MATCH(Fact_TrialBalance[Category],{"Interest &amp; Financing","Amortization","Income Tax"},0)))*Fact_TrialBalance[Amount]))</f>
        <v/>
      </c>
      <c r="K12" s="44">
        <f>-SUMIFS(Fact_TrialBalance[Amount],Fact_TrialBalance[EntityId],"N/A_BisGur",Fact_TrialBalance[FiscalYear],'01 Exec Summary'!$K$2)</f>
        <v/>
      </c>
      <c r="L12" s="1" t="n"/>
    </row>
    <row r="13">
      <c r="A13" s="1" t="inlineStr">
        <is>
          <t>Lobby Bar Lounge</t>
        </is>
      </c>
      <c r="B13" s="1" t="inlineStr">
        <is>
          <t>Restaurant</t>
        </is>
      </c>
      <c r="C13" s="44">
        <f>-SUMIFS(Fact_TrialBalance[Amount],Fact_TrialBalance[EntityId],"9096-0436 QI",Fact_TrialBalance[Category],"Operating Revenue",Fact_TrialBalance[FiscalYear],'01 Exec Summary'!$K$2)</f>
        <v/>
      </c>
      <c r="D13" s="44">
        <f>SUMIFS(Fact_TrialBalance[Amount],Fact_TrialBalance[EntityId],"9096-0436 QI",Fact_TrialBalance[Category],"COGS",Fact_TrialBalance[FiscalYear],'01 Exec Summary'!$K$2)</f>
        <v/>
      </c>
      <c r="E13" s="44">
        <f>SUMIFS(Fact_TrialBalance[Amount],Fact_TrialBalance[EntityId],"9096-0436 QI",Fact_TrialBalance[Category],"Payroll &amp; Benefits",Fact_TrialBalance[FiscalYear],'01 Exec Summary'!$K$2)</f>
        <v/>
      </c>
      <c r="F13" s="44">
        <f>SUMIFS(Fact_TrialBalance[Amount],Fact_TrialBalance[EntityId],"9096-0436 QI",Fact_TrialBalance[Category],"Occupancy",Fact_TrialBalance[FiscalYear],'01 Exec Summary'!$K$2)</f>
        <v/>
      </c>
      <c r="G13" s="44">
        <f>SUMIFS(Fact_TrialBalance[Amount],Fact_TrialBalance[EntityId],"9096-0436 QI",Fact_TrialBalance[Category],"Interest &amp; Financing",Fact_TrialBalance[FiscalYear],'01 Exec Summary'!$K$2)</f>
        <v/>
      </c>
      <c r="H13" s="44">
        <f>SUMIFS(Fact_TrialBalance[Amount],Fact_TrialBalance[EntityId],"9096-0436 QI",Fact_TrialBalance[Category],"Amortization",Fact_TrialBalance[FiscalYear],'01 Exec Summary'!$K$2)</f>
        <v/>
      </c>
      <c r="I13" s="44">
        <f>SUMIFS(Fact_TrialBalance[Amount],Fact_TrialBalance[EntityId],"9096-0436 QI",Fact_TrialBalance[Category],"Income Tax",Fact_TrialBalance[FiscalYear],'01 Exec Summary'!$K$2)</f>
        <v/>
      </c>
      <c r="J13" s="44">
        <f>-(SUMIFS(Fact_TrialBalance[Amount],Fact_TrialBalance[EntityId],"9096-0436 QI",Fact_TrialBalance[FiscalYear],'01 Exec Summary'!$K$2)-SUMPRODUCT((Fact_TrialBalance[EntityId]="9096-0436 QI")*(Fact_TrialBalance[FiscalYear]='01 Exec Summary'!$K$2)*(ISNUMBER(MATCH(Fact_TrialBalance[Category],{"Interest &amp; Financing","Amortization","Income Tax"},0)))*Fact_TrialBalance[Amount]))</f>
        <v/>
      </c>
      <c r="K13" s="44">
        <f>-SUMIFS(Fact_TrialBalance[Amount],Fact_TrialBalance[EntityId],"9096-0436 QI",Fact_TrialBalance[FiscalYear],'01 Exec Summary'!$K$2)</f>
        <v/>
      </c>
      <c r="L13" s="1" t="n"/>
    </row>
    <row r="14">
      <c r="A14" s="1" t="inlineStr">
        <is>
          <t>Restaurant Héritaj</t>
        </is>
      </c>
      <c r="B14" s="1" t="inlineStr">
        <is>
          <t>Restaurant</t>
        </is>
      </c>
      <c r="C14" s="44">
        <f>-SUMIFS(Fact_TrialBalance[Amount],Fact_TrialBalance[EntityId],"9504-7510 QI",Fact_TrialBalance[Category],"Operating Revenue",Fact_TrialBalance[FiscalYear],'01 Exec Summary'!$K$2)</f>
        <v/>
      </c>
      <c r="D14" s="44">
        <f>SUMIFS(Fact_TrialBalance[Amount],Fact_TrialBalance[EntityId],"9504-7510 QI",Fact_TrialBalance[Category],"COGS",Fact_TrialBalance[FiscalYear],'01 Exec Summary'!$K$2)</f>
        <v/>
      </c>
      <c r="E14" s="44">
        <f>SUMIFS(Fact_TrialBalance[Amount],Fact_TrialBalance[EntityId],"9504-7510 QI",Fact_TrialBalance[Category],"Payroll &amp; Benefits",Fact_TrialBalance[FiscalYear],'01 Exec Summary'!$K$2)</f>
        <v/>
      </c>
      <c r="F14" s="44">
        <f>SUMIFS(Fact_TrialBalance[Amount],Fact_TrialBalance[EntityId],"9504-7510 QI",Fact_TrialBalance[Category],"Occupancy",Fact_TrialBalance[FiscalYear],'01 Exec Summary'!$K$2)</f>
        <v/>
      </c>
      <c r="G14" s="44">
        <f>SUMIFS(Fact_TrialBalance[Amount],Fact_TrialBalance[EntityId],"9504-7510 QI",Fact_TrialBalance[Category],"Interest &amp; Financing",Fact_TrialBalance[FiscalYear],'01 Exec Summary'!$K$2)</f>
        <v/>
      </c>
      <c r="H14" s="44">
        <f>SUMIFS(Fact_TrialBalance[Amount],Fact_TrialBalance[EntityId],"9504-7510 QI",Fact_TrialBalance[Category],"Amortization",Fact_TrialBalance[FiscalYear],'01 Exec Summary'!$K$2)</f>
        <v/>
      </c>
      <c r="I14" s="44">
        <f>SUMIFS(Fact_TrialBalance[Amount],Fact_TrialBalance[EntityId],"9504-7510 QI",Fact_TrialBalance[Category],"Income Tax",Fact_TrialBalance[FiscalYear],'01 Exec Summary'!$K$2)</f>
        <v/>
      </c>
      <c r="J14" s="44">
        <f>-(SUMIFS(Fact_TrialBalance[Amount],Fact_TrialBalance[EntityId],"9504-7510 QI",Fact_TrialBalance[FiscalYear],'01 Exec Summary'!$K$2)-SUMPRODUCT((Fact_TrialBalance[EntityId]="9504-7510 QI")*(Fact_TrialBalance[FiscalYear]='01 Exec Summary'!$K$2)*(ISNUMBER(MATCH(Fact_TrialBalance[Category],{"Interest &amp; Financing","Amortization","Income Tax"},0)))*Fact_TrialBalance[Amount]))</f>
        <v/>
      </c>
      <c r="K14" s="44">
        <f>-SUMIFS(Fact_TrialBalance[Amount],Fact_TrialBalance[EntityId],"9504-7510 QI",Fact_TrialBalance[FiscalYear],'01 Exec Summary'!$K$2)</f>
        <v/>
      </c>
      <c r="L14" s="1" t="n"/>
    </row>
    <row r="15">
      <c r="A15" s="1" t="inlineStr">
        <is>
          <t>Restaurant Indiarosa II</t>
        </is>
      </c>
      <c r="B15" s="1" t="inlineStr">
        <is>
          <t>Restaurant</t>
        </is>
      </c>
      <c r="C15" s="44">
        <f>-SUMIFS(Fact_TrialBalance[Amount],Fact_TrialBalance[EntityId],"9455-8236 QI",Fact_TrialBalance[Category],"Operating Revenue",Fact_TrialBalance[FiscalYear],'01 Exec Summary'!$K$2)</f>
        <v/>
      </c>
      <c r="D15" s="44">
        <f>SUMIFS(Fact_TrialBalance[Amount],Fact_TrialBalance[EntityId],"9455-8236 QI",Fact_TrialBalance[Category],"COGS",Fact_TrialBalance[FiscalYear],'01 Exec Summary'!$K$2)</f>
        <v/>
      </c>
      <c r="E15" s="44">
        <f>SUMIFS(Fact_TrialBalance[Amount],Fact_TrialBalance[EntityId],"9455-8236 QI",Fact_TrialBalance[Category],"Payroll &amp; Benefits",Fact_TrialBalance[FiscalYear],'01 Exec Summary'!$K$2)</f>
        <v/>
      </c>
      <c r="F15" s="44">
        <f>SUMIFS(Fact_TrialBalance[Amount],Fact_TrialBalance[EntityId],"9455-8236 QI",Fact_TrialBalance[Category],"Occupancy",Fact_TrialBalance[FiscalYear],'01 Exec Summary'!$K$2)</f>
        <v/>
      </c>
      <c r="G15" s="44">
        <f>SUMIFS(Fact_TrialBalance[Amount],Fact_TrialBalance[EntityId],"9455-8236 QI",Fact_TrialBalance[Category],"Interest &amp; Financing",Fact_TrialBalance[FiscalYear],'01 Exec Summary'!$K$2)</f>
        <v/>
      </c>
      <c r="H15" s="44">
        <f>SUMIFS(Fact_TrialBalance[Amount],Fact_TrialBalance[EntityId],"9455-8236 QI",Fact_TrialBalance[Category],"Amortization",Fact_TrialBalance[FiscalYear],'01 Exec Summary'!$K$2)</f>
        <v/>
      </c>
      <c r="I15" s="44">
        <f>SUMIFS(Fact_TrialBalance[Amount],Fact_TrialBalance[EntityId],"9455-8236 QI",Fact_TrialBalance[Category],"Income Tax",Fact_TrialBalance[FiscalYear],'01 Exec Summary'!$K$2)</f>
        <v/>
      </c>
      <c r="J15" s="44">
        <f>-(SUMIFS(Fact_TrialBalance[Amount],Fact_TrialBalance[EntityId],"9455-8236 QI",Fact_TrialBalance[FiscalYear],'01 Exec Summary'!$K$2)-SUMPRODUCT((Fact_TrialBalance[EntityId]="9455-8236 QI")*(Fact_TrialBalance[FiscalYear]='01 Exec Summary'!$K$2)*(ISNUMBER(MATCH(Fact_TrialBalance[Category],{"Interest &amp; Financing","Amortization","Income Tax"},0)))*Fact_TrialBalance[Amount]))</f>
        <v/>
      </c>
      <c r="K15" s="44">
        <f>-SUMIFS(Fact_TrialBalance[Amount],Fact_TrialBalance[EntityId],"9455-8236 QI",Fact_TrialBalance[FiscalYear],'01 Exec Summary'!$K$2)</f>
        <v/>
      </c>
      <c r="L15" s="1" t="n"/>
    </row>
    <row r="16">
      <c r="A16" s="1" t="inlineStr">
        <is>
          <t>Restaurant Indiarosa III</t>
        </is>
      </c>
      <c r="B16" s="1" t="inlineStr">
        <is>
          <t>Restaurant</t>
        </is>
      </c>
      <c r="C16" s="44">
        <f>-SUMIFS(Fact_TrialBalance[Amount],Fact_TrialBalance[EntityId],"9525-2854 QI",Fact_TrialBalance[Category],"Operating Revenue",Fact_TrialBalance[FiscalYear],'01 Exec Summary'!$K$2)</f>
        <v/>
      </c>
      <c r="D16" s="44">
        <f>SUMIFS(Fact_TrialBalance[Amount],Fact_TrialBalance[EntityId],"9525-2854 QI",Fact_TrialBalance[Category],"COGS",Fact_TrialBalance[FiscalYear],'01 Exec Summary'!$K$2)</f>
        <v/>
      </c>
      <c r="E16" s="44">
        <f>SUMIFS(Fact_TrialBalance[Amount],Fact_TrialBalance[EntityId],"9525-2854 QI",Fact_TrialBalance[Category],"Payroll &amp; Benefits",Fact_TrialBalance[FiscalYear],'01 Exec Summary'!$K$2)</f>
        <v/>
      </c>
      <c r="F16" s="44">
        <f>SUMIFS(Fact_TrialBalance[Amount],Fact_TrialBalance[EntityId],"9525-2854 QI",Fact_TrialBalance[Category],"Occupancy",Fact_TrialBalance[FiscalYear],'01 Exec Summary'!$K$2)</f>
        <v/>
      </c>
      <c r="G16" s="44">
        <f>SUMIFS(Fact_TrialBalance[Amount],Fact_TrialBalance[EntityId],"9525-2854 QI",Fact_TrialBalance[Category],"Interest &amp; Financing",Fact_TrialBalance[FiscalYear],'01 Exec Summary'!$K$2)</f>
        <v/>
      </c>
      <c r="H16" s="44">
        <f>SUMIFS(Fact_TrialBalance[Amount],Fact_TrialBalance[EntityId],"9525-2854 QI",Fact_TrialBalance[Category],"Amortization",Fact_TrialBalance[FiscalYear],'01 Exec Summary'!$K$2)</f>
        <v/>
      </c>
      <c r="I16" s="44">
        <f>SUMIFS(Fact_TrialBalance[Amount],Fact_TrialBalance[EntityId],"9525-2854 QI",Fact_TrialBalance[Category],"Income Tax",Fact_TrialBalance[FiscalYear],'01 Exec Summary'!$K$2)</f>
        <v/>
      </c>
      <c r="J16" s="44">
        <f>-(SUMIFS(Fact_TrialBalance[Amount],Fact_TrialBalance[EntityId],"9525-2854 QI",Fact_TrialBalance[FiscalYear],'01 Exec Summary'!$K$2)-SUMPRODUCT((Fact_TrialBalance[EntityId]="9525-2854 QI")*(Fact_TrialBalance[FiscalYear]='01 Exec Summary'!$K$2)*(ISNUMBER(MATCH(Fact_TrialBalance[Category],{"Interest &amp; Financing","Amortization","Income Tax"},0)))*Fact_TrialBalance[Amount]))</f>
        <v/>
      </c>
      <c r="K16" s="44">
        <f>-SUMIFS(Fact_TrialBalance[Amount],Fact_TrialBalance[EntityId],"9525-2854 QI",Fact_TrialBalance[FiscalYear],'01 Exec Summary'!$K$2)</f>
        <v/>
      </c>
      <c r="L16" s="1" t="n"/>
    </row>
    <row r="17">
      <c r="A17" s="1" t="inlineStr">
        <is>
          <t>Restaurant Indiarosa</t>
        </is>
      </c>
      <c r="B17" s="1" t="inlineStr">
        <is>
          <t>Restaurant</t>
        </is>
      </c>
      <c r="C17" s="44">
        <f>-SUMIFS(Fact_TrialBalance[Amount],Fact_TrialBalance[EntityId],"9366-1049 QI",Fact_TrialBalance[Category],"Operating Revenue",Fact_TrialBalance[FiscalYear],'01 Exec Summary'!$K$2)</f>
        <v/>
      </c>
      <c r="D17" s="44">
        <f>SUMIFS(Fact_TrialBalance[Amount],Fact_TrialBalance[EntityId],"9366-1049 QI",Fact_TrialBalance[Category],"COGS",Fact_TrialBalance[FiscalYear],'01 Exec Summary'!$K$2)</f>
        <v/>
      </c>
      <c r="E17" s="44">
        <f>SUMIFS(Fact_TrialBalance[Amount],Fact_TrialBalance[EntityId],"9366-1049 QI",Fact_TrialBalance[Category],"Payroll &amp; Benefits",Fact_TrialBalance[FiscalYear],'01 Exec Summary'!$K$2)</f>
        <v/>
      </c>
      <c r="F17" s="44">
        <f>SUMIFS(Fact_TrialBalance[Amount],Fact_TrialBalance[EntityId],"9366-1049 QI",Fact_TrialBalance[Category],"Occupancy",Fact_TrialBalance[FiscalYear],'01 Exec Summary'!$K$2)</f>
        <v/>
      </c>
      <c r="G17" s="44">
        <f>SUMIFS(Fact_TrialBalance[Amount],Fact_TrialBalance[EntityId],"9366-1049 QI",Fact_TrialBalance[Category],"Interest &amp; Financing",Fact_TrialBalance[FiscalYear],'01 Exec Summary'!$K$2)</f>
        <v/>
      </c>
      <c r="H17" s="44">
        <f>SUMIFS(Fact_TrialBalance[Amount],Fact_TrialBalance[EntityId],"9366-1049 QI",Fact_TrialBalance[Category],"Amortization",Fact_TrialBalance[FiscalYear],'01 Exec Summary'!$K$2)</f>
        <v/>
      </c>
      <c r="I17" s="44">
        <f>SUMIFS(Fact_TrialBalance[Amount],Fact_TrialBalance[EntityId],"9366-1049 QI",Fact_TrialBalance[Category],"Income Tax",Fact_TrialBalance[FiscalYear],'01 Exec Summary'!$K$2)</f>
        <v/>
      </c>
      <c r="J17" s="44">
        <f>-(SUMIFS(Fact_TrialBalance[Amount],Fact_TrialBalance[EntityId],"9366-1049 QI",Fact_TrialBalance[FiscalYear],'01 Exec Summary'!$K$2)-SUMPRODUCT((Fact_TrialBalance[EntityId]="9366-1049 QI")*(Fact_TrialBalance[FiscalYear]='01 Exec Summary'!$K$2)*(ISNUMBER(MATCH(Fact_TrialBalance[Category],{"Interest &amp; Financing","Amortization","Income Tax"},0)))*Fact_TrialBalance[Amount]))</f>
        <v/>
      </c>
      <c r="K17" s="44">
        <f>-SUMIFS(Fact_TrialBalance[Amount],Fact_TrialBalance[EntityId],"9366-1049 QI",Fact_TrialBalance[FiscalYear],'01 Exec Summary'!$K$2)</f>
        <v/>
      </c>
      <c r="L17" s="1" t="n"/>
    </row>
    <row r="18">
      <c r="A18" s="1" t="inlineStr">
        <is>
          <t>Restaurant Pizzeria Sandhu</t>
        </is>
      </c>
      <c r="B18" s="1" t="inlineStr">
        <is>
          <t>Restaurant</t>
        </is>
      </c>
      <c r="C18" s="44">
        <f>-SUMIFS(Fact_TrialBalance[Amount],Fact_TrialBalance[EntityId],"9098-0558 QI",Fact_TrialBalance[Category],"Operating Revenue",Fact_TrialBalance[FiscalYear],'01 Exec Summary'!$K$2)</f>
        <v/>
      </c>
      <c r="D18" s="44">
        <f>SUMIFS(Fact_TrialBalance[Amount],Fact_TrialBalance[EntityId],"9098-0558 QI",Fact_TrialBalance[Category],"COGS",Fact_TrialBalance[FiscalYear],'01 Exec Summary'!$K$2)</f>
        <v/>
      </c>
      <c r="E18" s="44">
        <f>SUMIFS(Fact_TrialBalance[Amount],Fact_TrialBalance[EntityId],"9098-0558 QI",Fact_TrialBalance[Category],"Payroll &amp; Benefits",Fact_TrialBalance[FiscalYear],'01 Exec Summary'!$K$2)</f>
        <v/>
      </c>
      <c r="F18" s="44">
        <f>SUMIFS(Fact_TrialBalance[Amount],Fact_TrialBalance[EntityId],"9098-0558 QI",Fact_TrialBalance[Category],"Occupancy",Fact_TrialBalance[FiscalYear],'01 Exec Summary'!$K$2)</f>
        <v/>
      </c>
      <c r="G18" s="44">
        <f>SUMIFS(Fact_TrialBalance[Amount],Fact_TrialBalance[EntityId],"9098-0558 QI",Fact_TrialBalance[Category],"Interest &amp; Financing",Fact_TrialBalance[FiscalYear],'01 Exec Summary'!$K$2)</f>
        <v/>
      </c>
      <c r="H18" s="44">
        <f>SUMIFS(Fact_TrialBalance[Amount],Fact_TrialBalance[EntityId],"9098-0558 QI",Fact_TrialBalance[Category],"Amortization",Fact_TrialBalance[FiscalYear],'01 Exec Summary'!$K$2)</f>
        <v/>
      </c>
      <c r="I18" s="44">
        <f>SUMIFS(Fact_TrialBalance[Amount],Fact_TrialBalance[EntityId],"9098-0558 QI",Fact_TrialBalance[Category],"Income Tax",Fact_TrialBalance[FiscalYear],'01 Exec Summary'!$K$2)</f>
        <v/>
      </c>
      <c r="J18" s="44">
        <f>-(SUMIFS(Fact_TrialBalance[Amount],Fact_TrialBalance[EntityId],"9098-0558 QI",Fact_TrialBalance[FiscalYear],'01 Exec Summary'!$K$2)-SUMPRODUCT((Fact_TrialBalance[EntityId]="9098-0558 QI")*(Fact_TrialBalance[FiscalYear]='01 Exec Summary'!$K$2)*(ISNUMBER(MATCH(Fact_TrialBalance[Category],{"Interest &amp; Financing","Amortization","Income Tax"},0)))*Fact_TrialBalance[Amount]))</f>
        <v/>
      </c>
      <c r="K18" s="44">
        <f>-SUMIFS(Fact_TrialBalance[Amount],Fact_TrialBalance[EntityId],"9098-0558 QI",Fact_TrialBalance[FiscalYear],'01 Exec Summary'!$K$2)</f>
        <v/>
      </c>
      <c r="L18" s="1" t="n"/>
    </row>
    <row r="19">
      <c r="A19" s="1" t="inlineStr">
        <is>
          <t>Sandhu Leasing</t>
        </is>
      </c>
      <c r="B19" s="1" t="inlineStr">
        <is>
          <t>Rental</t>
        </is>
      </c>
      <c r="C19" s="44">
        <f>-SUMIFS(Fact_TrialBalance[Amount],Fact_TrialBalance[EntityId],"2749-8567 QI",Fact_TrialBalance[Category],"Operating Revenue",Fact_TrialBalance[FiscalYear],'01 Exec Summary'!$K$2)</f>
        <v/>
      </c>
      <c r="D19" s="44">
        <f>SUMIFS(Fact_TrialBalance[Amount],Fact_TrialBalance[EntityId],"2749-8567 QI",Fact_TrialBalance[Category],"COGS",Fact_TrialBalance[FiscalYear],'01 Exec Summary'!$K$2)</f>
        <v/>
      </c>
      <c r="E19" s="44">
        <f>SUMIFS(Fact_TrialBalance[Amount],Fact_TrialBalance[EntityId],"2749-8567 QI",Fact_TrialBalance[Category],"Payroll &amp; Benefits",Fact_TrialBalance[FiscalYear],'01 Exec Summary'!$K$2)</f>
        <v/>
      </c>
      <c r="F19" s="44">
        <f>SUMIFS(Fact_TrialBalance[Amount],Fact_TrialBalance[EntityId],"2749-8567 QI",Fact_TrialBalance[Category],"Occupancy",Fact_TrialBalance[FiscalYear],'01 Exec Summary'!$K$2)</f>
        <v/>
      </c>
      <c r="G19" s="44">
        <f>SUMIFS(Fact_TrialBalance[Amount],Fact_TrialBalance[EntityId],"2749-8567 QI",Fact_TrialBalance[Category],"Interest &amp; Financing",Fact_TrialBalance[FiscalYear],'01 Exec Summary'!$K$2)</f>
        <v/>
      </c>
      <c r="H19" s="44">
        <f>SUMIFS(Fact_TrialBalance[Amount],Fact_TrialBalance[EntityId],"2749-8567 QI",Fact_TrialBalance[Category],"Amortization",Fact_TrialBalance[FiscalYear],'01 Exec Summary'!$K$2)</f>
        <v/>
      </c>
      <c r="I19" s="44">
        <f>SUMIFS(Fact_TrialBalance[Amount],Fact_TrialBalance[EntityId],"2749-8567 QI",Fact_TrialBalance[Category],"Income Tax",Fact_TrialBalance[FiscalYear],'01 Exec Summary'!$K$2)</f>
        <v/>
      </c>
      <c r="J19" s="44">
        <f>-(SUMIFS(Fact_TrialBalance[Amount],Fact_TrialBalance[EntityId],"2749-8567 QI",Fact_TrialBalance[FiscalYear],'01 Exec Summary'!$K$2)-SUMPRODUCT((Fact_TrialBalance[EntityId]="2749-8567 QI")*(Fact_TrialBalance[FiscalYear]='01 Exec Summary'!$K$2)*(ISNUMBER(MATCH(Fact_TrialBalance[Category],{"Interest &amp; Financing","Amortization","Income Tax"},0)))*Fact_TrialBalance[Amount]))</f>
        <v/>
      </c>
      <c r="K19" s="44">
        <f>-SUMIFS(Fact_TrialBalance[Amount],Fact_TrialBalance[EntityId],"2749-8567 QI",Fact_TrialBalance[FiscalYear],'01 Exec Summary'!$K$2)</f>
        <v/>
      </c>
      <c r="L19" s="1" t="n"/>
    </row>
    <row r="20">
      <c r="A20" s="1" t="inlineStr">
        <is>
          <t>Sandhu &amp; Sandhu Enr.</t>
        </is>
      </c>
      <c r="B20" s="1" t="inlineStr">
        <is>
          <t>Rental</t>
        </is>
      </c>
      <c r="C20" s="44">
        <f>-SUMIFS(Fact_TrialBalance[Amount],Fact_TrialBalance[EntityId],"N/A_SanSan",Fact_TrialBalance[Category],"Operating Revenue",Fact_TrialBalance[FiscalYear],'01 Exec Summary'!$K$2)</f>
        <v/>
      </c>
      <c r="D20" s="44">
        <f>SUMIFS(Fact_TrialBalance[Amount],Fact_TrialBalance[EntityId],"N/A_SanSan",Fact_TrialBalance[Category],"COGS",Fact_TrialBalance[FiscalYear],'01 Exec Summary'!$K$2)</f>
        <v/>
      </c>
      <c r="E20" s="44">
        <f>SUMIFS(Fact_TrialBalance[Amount],Fact_TrialBalance[EntityId],"N/A_SanSan",Fact_TrialBalance[Category],"Payroll &amp; Benefits",Fact_TrialBalance[FiscalYear],'01 Exec Summary'!$K$2)</f>
        <v/>
      </c>
      <c r="F20" s="44">
        <f>SUMIFS(Fact_TrialBalance[Amount],Fact_TrialBalance[EntityId],"N/A_SanSan",Fact_TrialBalance[Category],"Occupancy",Fact_TrialBalance[FiscalYear],'01 Exec Summary'!$K$2)</f>
        <v/>
      </c>
      <c r="G20" s="44">
        <f>SUMIFS(Fact_TrialBalance[Amount],Fact_TrialBalance[EntityId],"N/A_SanSan",Fact_TrialBalance[Category],"Interest &amp; Financing",Fact_TrialBalance[FiscalYear],'01 Exec Summary'!$K$2)</f>
        <v/>
      </c>
      <c r="H20" s="44">
        <f>SUMIFS(Fact_TrialBalance[Amount],Fact_TrialBalance[EntityId],"N/A_SanSan",Fact_TrialBalance[Category],"Amortization",Fact_TrialBalance[FiscalYear],'01 Exec Summary'!$K$2)</f>
        <v/>
      </c>
      <c r="I20" s="44">
        <f>SUMIFS(Fact_TrialBalance[Amount],Fact_TrialBalance[EntityId],"N/A_SanSan",Fact_TrialBalance[Category],"Income Tax",Fact_TrialBalance[FiscalYear],'01 Exec Summary'!$K$2)</f>
        <v/>
      </c>
      <c r="J20" s="44">
        <f>-(SUMIFS(Fact_TrialBalance[Amount],Fact_TrialBalance[EntityId],"N/A_SanSan",Fact_TrialBalance[FiscalYear],'01 Exec Summary'!$K$2)-SUMPRODUCT((Fact_TrialBalance[EntityId]="N/A_SanSan")*(Fact_TrialBalance[FiscalYear]='01 Exec Summary'!$K$2)*(ISNUMBER(MATCH(Fact_TrialBalance[Category],{"Interest &amp; Financing","Amortization","Income Tax"},0)))*Fact_TrialBalance[Amount]))</f>
        <v/>
      </c>
      <c r="K20" s="44">
        <f>-SUMIFS(Fact_TrialBalance[Amount],Fact_TrialBalance[EntityId],"N/A_SanSan",Fact_TrialBalance[FiscalYear],'01 Exec Summary'!$K$2)</f>
        <v/>
      </c>
      <c r="L20" s="1" t="n"/>
    </row>
    <row r="21">
      <c r="A21" s="1" t="n"/>
      <c r="B21" s="1" t="n"/>
      <c r="C21" s="1" t="n"/>
      <c r="D21" s="1" t="n"/>
      <c r="E21" s="1" t="n"/>
      <c r="F21" s="1" t="n"/>
      <c r="G21" s="1" t="n"/>
      <c r="H21" s="1" t="n"/>
      <c r="I21" s="1" t="n"/>
      <c r="J21" s="1" t="n"/>
      <c r="K21" s="1" t="n"/>
      <c r="L21" s="1" t="n"/>
    </row>
    <row r="22">
      <c r="A22" s="1" t="n"/>
      <c r="B22" s="1" t="n"/>
      <c r="C22" s="1" t="n"/>
      <c r="D22" s="1" t="n"/>
      <c r="E22" s="1" t="n"/>
      <c r="F22" s="1" t="n"/>
      <c r="G22" s="1" t="n"/>
      <c r="H22" s="1" t="n"/>
      <c r="I22" s="1" t="n"/>
      <c r="J22" s="1" t="n"/>
      <c r="K22" s="1" t="n"/>
      <c r="L22" s="1" t="n"/>
    </row>
    <row r="23">
      <c r="A23" s="1" t="n"/>
      <c r="B23" s="1" t="n"/>
      <c r="C23" s="1" t="n"/>
      <c r="D23" s="1" t="n"/>
      <c r="E23" s="1" t="n"/>
      <c r="F23" s="1" t="n"/>
      <c r="G23" s="1" t="n"/>
      <c r="H23" s="1" t="n"/>
      <c r="I23" s="1" t="n"/>
      <c r="J23" s="1" t="n"/>
      <c r="K23" s="1" t="n"/>
      <c r="L23" s="1" t="n"/>
    </row>
    <row r="24">
      <c r="A24" s="1" t="n"/>
      <c r="B24" s="1" t="n"/>
      <c r="C24" s="1" t="n"/>
      <c r="D24" s="1" t="n"/>
      <c r="E24" s="1" t="n"/>
      <c r="F24" s="1" t="n"/>
      <c r="G24" s="1" t="n"/>
      <c r="H24" s="1" t="n"/>
      <c r="I24" s="1" t="n"/>
      <c r="J24" s="1" t="n"/>
      <c r="K24" s="1" t="n"/>
      <c r="L24" s="1" t="n"/>
    </row>
    <row r="25">
      <c r="A25" s="1" t="n"/>
      <c r="B25" s="1" t="n"/>
      <c r="C25" s="1" t="n"/>
      <c r="D25" s="1" t="n"/>
      <c r="E25" s="1" t="n"/>
      <c r="F25" s="1" t="n"/>
      <c r="G25" s="1" t="n"/>
      <c r="H25" s="1" t="n"/>
      <c r="I25" s="1" t="n"/>
      <c r="J25" s="1" t="n"/>
      <c r="K25" s="1" t="n"/>
      <c r="L25" s="1" t="n"/>
    </row>
  </sheetData>
  <mergeCells count="1">
    <mergeCell ref="A1:K2"/>
  </mergeCells>
  <conditionalFormatting sqref="K5:K20">
    <cfRule type="cellIs" priority="1" operator="lessThan" dxfId="0">
      <formula>0</formula>
    </cfRule>
  </conditionalFormatting>
  <hyperlinks>
    <hyperlink xmlns:r="http://schemas.openxmlformats.org/officeDocument/2006/relationships" ref="A3" r:id="rId1"/>
  </hyperlinks>
  <printOptions horizontalCentered="0"/>
  <pageMargins left="0.75" right="0.75" top="1" bottom="1" header="0.5" footer="0.5"/>
  <pageSetup orientation="landscape" fitToHeight="0" fitToWidth="1"/>
  <tableParts count="1">
    <tablePart xmlns:r="http://schemas.openxmlformats.org/officeDocument/2006/relationships" r:id="rId2"/>
  </tableParts>
</worksheet>
</file>

<file path=xl/worksheets/sheet6.xml><?xml version="1.0" encoding="utf-8"?>
<worksheet xmlns="http://schemas.openxmlformats.org/spreadsheetml/2006/main">
  <sheetPr>
    <tabColor rgb="006B7280"/>
    <outlinePr summaryBelow="1" summaryRight="1"/>
    <pageSetUpPr fitToPage="1"/>
  </sheetPr>
  <dimension ref="A1:C45"/>
  <sheetViews>
    <sheetView workbookViewId="0">
      <selection activeCell="A1" sqref="A1"/>
    </sheetView>
  </sheetViews>
  <sheetFormatPr baseColWidth="8" defaultRowHeight="15"/>
  <cols>
    <col width="100" customWidth="1" min="1" max="1"/>
  </cols>
  <sheetData>
    <row r="1">
      <c r="A1" s="89" t="inlineStr">
        <is>
          <t>SANDHU GROUP INTERACTIVE DASHBOARD — Build Notes</t>
        </is>
      </c>
      <c r="B1" s="1" t="n"/>
      <c r="C1" s="48" t="inlineStr">
        <is>
          <t>← 01 Exec Summary</t>
        </is>
      </c>
    </row>
    <row r="2">
      <c r="A2" s="90" t="inlineStr"/>
      <c r="B2" s="1" t="n"/>
      <c r="C2" s="1" t="n"/>
    </row>
    <row r="3">
      <c r="A3" s="90" t="inlineStr">
        <is>
          <t>Scope: all 16 entities (both family trusts — Gurpreet Sandhu Trust, Harpreet Sandhu Trust — excluded from scope per instruction; ~$4-$10/yr activity per the handoff, immaterial). Every one of these was rebuilt fresh from its raw CaseWare WTB export in this session (not carried over from any prior file) and covers 3 fiscal years: FY2023, FY2024, FY2025.</t>
        </is>
      </c>
      <c r="B3" s="1" t="n"/>
      <c r="C3" s="1" t="n"/>
    </row>
    <row r="4">
      <c r="A4" s="90" t="inlineStr"/>
      <c r="B4" s="1" t="n"/>
      <c r="C4" s="1" t="n"/>
    </row>
    <row r="5">
      <c r="A5" s="90" t="inlineStr">
        <is>
          <t>Missing: Sandhu &amp; Sandhu Enr.'s Corporate Taxprep export (its WTB was supplied and is included).</t>
        </is>
      </c>
      <c r="B5" s="1" t="n"/>
      <c r="C5" s="1" t="n"/>
    </row>
    <row r="6">
      <c r="A6" s="90" t="inlineStr"/>
      <c r="B6" s="1" t="n"/>
      <c r="C6" s="1" t="n"/>
    </row>
    <row r="7">
      <c r="A7" s="90" t="inlineStr">
        <is>
          <t>Dim_Entity updated to the user-supplied reference table: CompanyName (incl. owner suffix, e.g. '- Sandhu H.'), LegalName, and Industry (Construction/Real estate/Investments/Hotel/Restaurant/Rental) replace the earlier EntityName/Segment (HoldCo/RealCo/OpCo) scheme everywhere in this workbook. 'Rres_Ind' in that table was treated as a typo for 'Res_Ind' (same LegalName, 9366-1049 Québec Inc.) — same entity, not a new one. Sandhu &amp; Sandhu Enr. isn't in that table at all; its Industry ('Rental') is inferred from its sibling entity Sandhu Leasing, not given data.</t>
        </is>
      </c>
      <c r="B7" s="1" t="n"/>
      <c r="C7" s="1" t="n"/>
    </row>
    <row r="8">
      <c r="A8" s="90" t="inlineStr"/>
      <c r="B8" s="1" t="n"/>
      <c r="C8" s="1" t="n"/>
    </row>
    <row r="9">
      <c r="A9" s="91" t="inlineStr">
        <is>
          <t>UNEXPECTED FILE: 947_338_2025_Tax.csv identifies its filer as '9475-3381 Québec Inc.' — an entity not in the Section 4 entity list at all. No WTB was supplied for it, so it is NOT included in this workbook. Flagged for you to confirm whether it belongs in the group.</t>
        </is>
      </c>
      <c r="B9" s="1" t="n"/>
      <c r="C9" s="1" t="n"/>
    </row>
    <row r="10">
      <c r="A10" s="90" t="inlineStr"/>
      <c r="B10" s="1" t="n"/>
      <c r="C10" s="1" t="n"/>
    </row>
    <row r="11">
      <c r="A11" s="92" t="inlineStr">
        <is>
          <t>VALIDATION — every entity's FY2025 Net Income matches an independent benchmark exactly:</t>
        </is>
      </c>
      <c r="B11" s="1" t="n"/>
      <c r="C11" s="1" t="n"/>
    </row>
    <row r="12">
      <c r="A12" s="93" t="inlineStr">
        <is>
          <t xml:space="preserve">  Restaurant IndiaRosa 2 matches every Section 6 category benchmark to the penny (Net Income FY2025 $462,894.92, FY2024 $736,959.45) — see the account-level exceptions below.</t>
        </is>
      </c>
      <c r="B12" s="1" t="n"/>
      <c r="C12" s="1" t="n"/>
    </row>
    <row r="13">
      <c r="A13" s="93" t="inlineStr">
        <is>
          <t xml:space="preserve">  All other 15 entities match the Validation Log tab in GIFI_Master_Mapping_v2.xlsx exactly, including Bistro Guru Inc. ($-30,118.89), which RESOLVES the discrepancy flagged in an earlier version of this workbook (the old starter kit's $-45,954.06 figure for Bistro Guru was wrong; the fresh WTB rebuild confirms the Validation Log was correct).</t>
        </is>
      </c>
      <c r="B13" s="1" t="n"/>
      <c r="C13" s="1" t="n"/>
    </row>
    <row r="14">
      <c r="A14" s="90" t="inlineStr"/>
      <c r="B14" s="1" t="n"/>
      <c r="C14" s="1" t="n"/>
    </row>
    <row r="15">
      <c r="A15" s="90" t="inlineStr">
        <is>
          <t>Restaurant IndiaRosa 2 — three accounts in its WTB carry a GIFI code that contradicts the account name; treated as account-level overrides, not changes to the master GIFI mapping:</t>
        </is>
      </c>
      <c r="B15" s="1" t="n"/>
      <c r="C15" s="1" t="n"/>
    </row>
    <row r="16">
      <c r="A16" s="93" t="inlineStr">
        <is>
          <t xml:space="preserve">  Acct 45130 'Valet service' + 45125 'Musical entertainment' — tagged GIFI 9270 (Amortization) -&gt; reclassified to Marketing &amp; Entertainment.</t>
        </is>
      </c>
      <c r="B16" s="1" t="n"/>
      <c r="C16" s="1" t="n"/>
    </row>
    <row r="17">
      <c r="A17" s="93" t="inlineStr">
        <is>
          <t xml:space="preserve">  Acct 44215 'Rent - Ford' + 33455 'Equipment rental' + 45250 'Travelling - gas &amp; repairs' — tagged GIFI 8461 (COGS) -&gt; reclassified to Other Operating.</t>
        </is>
      </c>
      <c r="B17" s="1" t="n"/>
      <c r="C17" s="1" t="n"/>
    </row>
    <row r="18">
      <c r="A18" s="93" t="inlineStr">
        <is>
          <t xml:space="preserve">  Acct 45150 'Consulting fees' — tagged GIFI 8863 (Administrative) -&gt; reclassified to Other Operating per user confirmation (matches Section 6 Admin $99,729 / Other Operating $79,976 exactly).</t>
        </is>
      </c>
      <c r="B18" s="1" t="n"/>
      <c r="C18" s="1" t="n"/>
    </row>
    <row r="19">
      <c r="A19" s="90" t="inlineStr"/>
      <c r="B19" s="1" t="n"/>
      <c r="C19" s="1" t="n"/>
    </row>
    <row r="20">
      <c r="A20" s="90" t="inlineStr">
        <is>
          <t>Sandhu &amp; Sandhu Enr. — two Map No formatting variants ('40.1' vs '40. 1') were causing 3 accounts to fall through the fallback table uncategorized; fixed by normalizing whitespace in the Map No match, plus adding one missing fallback row (Map No '40. 3' -&gt; Administrative, Insurance). After the fix, FY2025 Net Income matches the Validation Log exactly ($-15,821.17).</t>
        </is>
      </c>
      <c r="B20" s="1" t="n"/>
      <c r="C20" s="1" t="n"/>
    </row>
    <row r="21">
      <c r="A21" s="90" t="inlineStr"/>
      <c r="B21" s="1" t="n"/>
      <c r="C21" s="1" t="n"/>
    </row>
    <row r="22">
      <c r="A22" s="91" t="inlineStr">
        <is>
          <t>UNRESOLVED: group-level FY2025 Revenue ($14,945,731) and EBITDA ($2,734,142) are within ~0.5% and ~1.8% of the Section 6 16-entity benchmark ($14,873,731 / $2,784,496) despite every single entity's own Net Income matching its benchmark exactly. Income Tax and Investment &amp; Other Income match exactly. This means a small amount is sitting in a different category than the original benchmark used, in one or two entities — similar in nature to IndiaRosa 2's account exceptions above, but not yet isolated. Group Net Income is within $5,014 (0.8%) of benchmark.</t>
        </is>
      </c>
      <c r="B22" s="1" t="n"/>
      <c r="C22" s="1" t="n"/>
    </row>
    <row r="23">
      <c r="A23" s="90" t="inlineStr"/>
      <c r="B23" s="1" t="n"/>
      <c r="C23" s="1" t="n"/>
    </row>
    <row r="24">
      <c r="A24" s="90" t="inlineStr">
        <is>
          <t>NOT YET INCLUDED: RDTOH and CDA (confirmed absent from the Taxprep export tested — see 03 Tax Position). SBD/GRIP/Part I tax figures are real for IndiaRosa 2's 14 associated corporations (from its Taxprep SLIPA schedule) but each entity's OWN SBD claim from its own Taxprep export has not yet been pulled in — only IndiaRosa 2's Tax CSV has been mined for Section 3-style data.</t>
        </is>
      </c>
      <c r="B24" s="1" t="n"/>
      <c r="C24" s="1" t="n"/>
    </row>
    <row r="25">
      <c r="A25" s="90" t="inlineStr"/>
      <c r="B25" s="1" t="n"/>
      <c r="C25" s="1" t="n"/>
    </row>
    <row r="26">
      <c r="A26" s="90" t="inlineStr">
        <is>
          <t>Interactivity: this workbook uses dropdown selectors ('02 Profitability'!C6 Entity, !H6 Fiscal Year) driving live SUMIFS formulas and charts — no Power Pivot/DAX setup required, works in any version of Excel. Entity Register and raw data sheets are Excel Tables with built-in filter dropdowns per column.</t>
        </is>
      </c>
      <c r="B26" s="1" t="n"/>
      <c r="C26" s="1" t="n"/>
    </row>
    <row r="27">
      <c r="A27" s="90" t="inlineStr"/>
      <c r="B27" s="1" t="n"/>
      <c r="C27" s="1" t="n"/>
    </row>
    <row r="28">
      <c r="A28" s="90" t="inlineStr">
        <is>
          <t>Recalculated and verified in LibreOffice headless — every KPI card and cross-check in this sheet was confirmed against the actual computed cell values, not just the formula text.</t>
        </is>
      </c>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sheetData>
  <hyperlinks>
    <hyperlink xmlns:r="http://schemas.openxmlformats.org/officeDocument/2006/relationships" ref="C1" r:id="rId1"/>
  </hyperlinks>
  <printOptions horizontalCentered="0"/>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12" customWidth="1" min="1" max="1"/>
    <col width="34" customWidth="1" min="2" max="2"/>
    <col width="24" customWidth="1" min="3" max="3"/>
    <col width="16" customWidth="1" min="4" max="4"/>
  </cols>
  <sheetData>
    <row r="1">
      <c r="A1" s="94" t="inlineStr">
        <is>
          <t>EntityId</t>
        </is>
      </c>
      <c r="B1" s="94" t="inlineStr">
        <is>
          <t>CompanyName</t>
        </is>
      </c>
      <c r="C1" s="94" t="inlineStr">
        <is>
          <t>LegalName</t>
        </is>
      </c>
      <c r="D1" s="94" t="inlineStr">
        <is>
          <t>Industry</t>
        </is>
      </c>
    </row>
    <row r="2">
      <c r="A2" t="inlineStr">
        <is>
          <t>9357-7427 QI</t>
        </is>
      </c>
      <c r="B2" t="inlineStr">
        <is>
          <t>9357-7427 Québec Inc. - Sandhu H.</t>
        </is>
      </c>
      <c r="C2" t="inlineStr">
        <is>
          <t>9357-7427 Québec Inc.</t>
        </is>
      </c>
      <c r="D2" t="inlineStr">
        <is>
          <t>Construction</t>
        </is>
      </c>
    </row>
    <row r="3">
      <c r="A3" t="inlineStr">
        <is>
          <t>9366-1676 QI</t>
        </is>
      </c>
      <c r="B3" t="inlineStr">
        <is>
          <t>9366-1676 Québec Inc. - Sandhu G.</t>
        </is>
      </c>
      <c r="C3" t="inlineStr">
        <is>
          <t>9366-1676 Québec Inc.</t>
        </is>
      </c>
      <c r="D3" t="inlineStr">
        <is>
          <t>Real estate</t>
        </is>
      </c>
    </row>
    <row r="4">
      <c r="A4" t="inlineStr">
        <is>
          <t>9425-4547 QI</t>
        </is>
      </c>
      <c r="B4" t="inlineStr">
        <is>
          <t>9425-4547 Québec Inc. - Sandhu G</t>
        </is>
      </c>
      <c r="C4" t="inlineStr">
        <is>
          <t>9425-4547 Québec Inc.</t>
        </is>
      </c>
      <c r="D4" t="inlineStr">
        <is>
          <t>Real estate</t>
        </is>
      </c>
    </row>
    <row r="5">
      <c r="A5" t="inlineStr">
        <is>
          <t>9455-4169 QI</t>
        </is>
      </c>
      <c r="B5" t="inlineStr">
        <is>
          <t>9455-4169 Québec Inc. - Sandhu</t>
        </is>
      </c>
      <c r="C5" t="inlineStr">
        <is>
          <t>9455-4169 Québec Inc</t>
        </is>
      </c>
      <c r="D5" t="inlineStr">
        <is>
          <t>Investments</t>
        </is>
      </c>
    </row>
    <row r="6">
      <c r="A6" t="inlineStr">
        <is>
          <t>9455-4177 QI</t>
        </is>
      </c>
      <c r="B6" t="inlineStr">
        <is>
          <t>9455-4177 Québec Inc. - Sandhu H.</t>
        </is>
      </c>
      <c r="C6" t="inlineStr">
        <is>
          <t>9455-4177 Québec Inc.</t>
        </is>
      </c>
      <c r="D6" t="inlineStr">
        <is>
          <t>Investments</t>
        </is>
      </c>
    </row>
    <row r="7">
      <c r="A7" t="inlineStr">
        <is>
          <t>9455-4201 QI</t>
        </is>
      </c>
      <c r="B7" t="inlineStr">
        <is>
          <t>9455-4201 Québec Inc. - Sandhu G</t>
        </is>
      </c>
      <c r="C7" t="inlineStr">
        <is>
          <t>9455-4201 Québec inc.</t>
        </is>
      </c>
      <c r="D7" t="inlineStr">
        <is>
          <t>Investments</t>
        </is>
      </c>
    </row>
    <row r="8">
      <c r="A8" t="inlineStr">
        <is>
          <t>9108-6876 QI</t>
        </is>
      </c>
      <c r="B8" t="inlineStr">
        <is>
          <t>Auberge du Carre St-Louis</t>
        </is>
      </c>
      <c r="C8" t="inlineStr">
        <is>
          <t>9108-6876 Québec Inc.</t>
        </is>
      </c>
      <c r="D8" t="inlineStr">
        <is>
          <t>Hotel</t>
        </is>
      </c>
    </row>
    <row r="9">
      <c r="A9" t="inlineStr">
        <is>
          <t>N/A_BisGur</t>
        </is>
      </c>
      <c r="B9" t="inlineStr">
        <is>
          <t>Bistro Guru Inc.</t>
        </is>
      </c>
      <c r="C9" t="inlineStr">
        <is>
          <t>Bistro Guru Inc.</t>
        </is>
      </c>
      <c r="D9" t="inlineStr">
        <is>
          <t>Restaurant</t>
        </is>
      </c>
    </row>
    <row r="10">
      <c r="A10" t="inlineStr">
        <is>
          <t>9096-0436 QI</t>
        </is>
      </c>
      <c r="B10" t="inlineStr">
        <is>
          <t>Lobby Bar Lounge</t>
        </is>
      </c>
      <c r="C10" t="inlineStr">
        <is>
          <t>9096-0436 Québec Inc.</t>
        </is>
      </c>
      <c r="D10" t="inlineStr">
        <is>
          <t>Restaurant</t>
        </is>
      </c>
    </row>
    <row r="11">
      <c r="A11" t="inlineStr">
        <is>
          <t>9504-7510 QI</t>
        </is>
      </c>
      <c r="B11" t="inlineStr">
        <is>
          <t>Restaurant Héritaj</t>
        </is>
      </c>
      <c r="C11" t="inlineStr">
        <is>
          <t>9504-7510 Québec Inc.</t>
        </is>
      </c>
      <c r="D11" t="inlineStr">
        <is>
          <t>Restaurant</t>
        </is>
      </c>
    </row>
    <row r="12">
      <c r="A12" t="inlineStr">
        <is>
          <t>9455-8236 QI</t>
        </is>
      </c>
      <c r="B12" t="inlineStr">
        <is>
          <t>Restaurant Indiarosa II</t>
        </is>
      </c>
      <c r="C12" t="inlineStr">
        <is>
          <t>9455-8236 Québec Inc.</t>
        </is>
      </c>
      <c r="D12" t="inlineStr">
        <is>
          <t>Restaurant</t>
        </is>
      </c>
    </row>
    <row r="13">
      <c r="A13" t="inlineStr">
        <is>
          <t>9525-2854 QI</t>
        </is>
      </c>
      <c r="B13" t="inlineStr">
        <is>
          <t>Restaurant Indiarosa III</t>
        </is>
      </c>
      <c r="C13" t="inlineStr">
        <is>
          <t>9525-2854 Québec Inc.</t>
        </is>
      </c>
      <c r="D13" t="inlineStr">
        <is>
          <t>Restaurant</t>
        </is>
      </c>
    </row>
    <row r="14">
      <c r="A14" t="inlineStr">
        <is>
          <t>9366-1049 QI</t>
        </is>
      </c>
      <c r="B14" t="inlineStr">
        <is>
          <t>Restaurant Indiarosa</t>
        </is>
      </c>
      <c r="C14" t="inlineStr">
        <is>
          <t>9366-1049 Québec Inc.</t>
        </is>
      </c>
      <c r="D14" t="inlineStr">
        <is>
          <t>Restaurant</t>
        </is>
      </c>
    </row>
    <row r="15">
      <c r="A15" t="inlineStr">
        <is>
          <t>9098-0558 QI</t>
        </is>
      </c>
      <c r="B15" t="inlineStr">
        <is>
          <t>Restaurant Pizzeria Sandhu</t>
        </is>
      </c>
      <c r="C15" t="inlineStr">
        <is>
          <t>9098-0558 Québec Inc.</t>
        </is>
      </c>
      <c r="D15" t="inlineStr">
        <is>
          <t>Restaurant</t>
        </is>
      </c>
    </row>
    <row r="16">
      <c r="A16" t="inlineStr">
        <is>
          <t>2749-8567 QI</t>
        </is>
      </c>
      <c r="B16" t="inlineStr">
        <is>
          <t>Sandhu Leasing</t>
        </is>
      </c>
      <c r="C16" t="inlineStr">
        <is>
          <t>2749-8567 Québec Inc.</t>
        </is>
      </c>
      <c r="D16" t="inlineStr">
        <is>
          <t>Rental</t>
        </is>
      </c>
    </row>
    <row r="17">
      <c r="A17" t="inlineStr">
        <is>
          <t>N/A_SanSan</t>
        </is>
      </c>
      <c r="B17" t="inlineStr">
        <is>
          <t>Sandhu &amp; Sandhu Enr.</t>
        </is>
      </c>
      <c r="C17" t="inlineStr">
        <is>
          <t>Sandhu &amp; Sandhu Enr.</t>
        </is>
      </c>
      <c r="D17" t="inlineStr">
        <is>
          <t>Rental</t>
        </is>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4" customWidth="1" min="1" max="1"/>
    <col width="14" customWidth="1" min="2" max="2"/>
    <col width="26" customWidth="1" min="3" max="3"/>
  </cols>
  <sheetData>
    <row r="1">
      <c r="A1" s="94" t="inlineStr">
        <is>
          <t>FiscalYear</t>
        </is>
      </c>
      <c r="B1" s="94" t="inlineStr">
        <is>
          <t>YearEnd</t>
        </is>
      </c>
      <c r="C1" s="94" t="inlineStr">
        <is>
          <t>YearLabel</t>
        </is>
      </c>
    </row>
    <row r="2">
      <c r="A2" t="inlineStr">
        <is>
          <t>FY2023</t>
        </is>
      </c>
      <c r="B2" t="inlineStr">
        <is>
          <t>2023-03-31</t>
        </is>
      </c>
      <c r="C2" t="inlineStr">
        <is>
          <t>FY2023</t>
        </is>
      </c>
    </row>
    <row r="3">
      <c r="A3" t="inlineStr">
        <is>
          <t>FY2024</t>
        </is>
      </c>
      <c r="B3" t="inlineStr">
        <is>
          <t>2024-03-31</t>
        </is>
      </c>
      <c r="C3" t="inlineStr">
        <is>
          <t>FY2024</t>
        </is>
      </c>
    </row>
    <row r="4">
      <c r="A4" t="inlineStr">
        <is>
          <t>FY2025</t>
        </is>
      </c>
      <c r="B4" t="inlineStr">
        <is>
          <t>2025-03-31</t>
        </is>
      </c>
      <c r="C4" t="inlineStr">
        <is>
          <t>FY2025</t>
        </is>
      </c>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E326"/>
  <sheetViews>
    <sheetView workbookViewId="0">
      <selection activeCell="A1" sqref="A1"/>
    </sheetView>
  </sheetViews>
  <sheetFormatPr baseColWidth="8" defaultRowHeight="15"/>
  <cols>
    <col width="16" customWidth="1" min="1" max="1"/>
    <col width="28" customWidth="1" min="2" max="2"/>
    <col width="12" customWidth="1" min="3" max="3"/>
    <col width="16" customWidth="1" min="4" max="4"/>
    <col width="18" customWidth="1" min="5" max="5"/>
  </cols>
  <sheetData>
    <row r="1">
      <c r="A1" s="94" t="inlineStr">
        <is>
          <t>EntityId</t>
        </is>
      </c>
      <c r="B1" s="94" t="inlineStr">
        <is>
          <t>Category</t>
        </is>
      </c>
      <c r="C1" s="94" t="inlineStr">
        <is>
          <t>FiscalYear</t>
        </is>
      </c>
      <c r="D1" s="94" t="inlineStr">
        <is>
          <t>Amount</t>
        </is>
      </c>
      <c r="E1" s="94" t="inlineStr">
        <is>
          <t>Industry</t>
        </is>
      </c>
    </row>
    <row r="2">
      <c r="A2" t="inlineStr">
        <is>
          <t>9455-8236 QI</t>
        </is>
      </c>
      <c r="B2" t="inlineStr">
        <is>
          <t>Operating Revenue</t>
        </is>
      </c>
      <c r="C2" t="inlineStr">
        <is>
          <t>FY2025</t>
        </is>
      </c>
      <c r="D2" s="95" t="n">
        <v>-5213628.68</v>
      </c>
      <c r="E2" t="inlineStr">
        <is>
          <t>Restaurant</t>
        </is>
      </c>
    </row>
    <row r="3">
      <c r="A3" t="inlineStr">
        <is>
          <t>9455-8236 QI</t>
        </is>
      </c>
      <c r="B3" t="inlineStr">
        <is>
          <t>Management Fees (Interco)</t>
        </is>
      </c>
      <c r="C3" t="inlineStr">
        <is>
          <t>FY2025</t>
        </is>
      </c>
      <c r="D3" s="95" t="n">
        <v>30000</v>
      </c>
      <c r="E3" t="inlineStr">
        <is>
          <t>Restaurant</t>
        </is>
      </c>
    </row>
    <row r="4">
      <c r="A4" t="inlineStr">
        <is>
          <t>9455-8236 QI</t>
        </is>
      </c>
      <c r="B4" t="inlineStr">
        <is>
          <t>Interest &amp; Financing</t>
        </is>
      </c>
      <c r="C4" t="inlineStr">
        <is>
          <t>FY2025</t>
        </is>
      </c>
      <c r="D4" s="95" t="n">
        <v>146738.3</v>
      </c>
      <c r="E4" t="inlineStr">
        <is>
          <t>Restaurant</t>
        </is>
      </c>
    </row>
    <row r="5">
      <c r="A5" t="inlineStr">
        <is>
          <t>9455-8236 QI</t>
        </is>
      </c>
      <c r="B5" t="inlineStr">
        <is>
          <t>Occupancy</t>
        </is>
      </c>
      <c r="C5" t="inlineStr">
        <is>
          <t>FY2025</t>
        </is>
      </c>
      <c r="D5" s="95" t="n">
        <v>474171.72</v>
      </c>
      <c r="E5" t="inlineStr">
        <is>
          <t>Restaurant</t>
        </is>
      </c>
    </row>
    <row r="6">
      <c r="A6" t="inlineStr">
        <is>
          <t>9455-8236 QI</t>
        </is>
      </c>
      <c r="B6" t="inlineStr">
        <is>
          <t>Other Operating</t>
        </is>
      </c>
      <c r="C6" t="inlineStr">
        <is>
          <t>FY2025</t>
        </is>
      </c>
      <c r="D6" s="95" t="n">
        <v>79976.25999999999</v>
      </c>
      <c r="E6" t="inlineStr">
        <is>
          <t>Restaurant</t>
        </is>
      </c>
    </row>
    <row r="7">
      <c r="A7" t="inlineStr">
        <is>
          <t>9455-8236 QI</t>
        </is>
      </c>
      <c r="B7" t="inlineStr">
        <is>
          <t>Administrative</t>
        </is>
      </c>
      <c r="C7" t="inlineStr">
        <is>
          <t>FY2025</t>
        </is>
      </c>
      <c r="D7" s="95" t="n">
        <v>99728.72</v>
      </c>
      <c r="E7" t="inlineStr">
        <is>
          <t>Restaurant</t>
        </is>
      </c>
    </row>
    <row r="8">
      <c r="A8" t="inlineStr">
        <is>
          <t>9455-8236 QI</t>
        </is>
      </c>
      <c r="B8" t="inlineStr">
        <is>
          <t>Marketing &amp; Entertainment</t>
        </is>
      </c>
      <c r="C8" t="inlineStr">
        <is>
          <t>FY2025</t>
        </is>
      </c>
      <c r="D8" s="95" t="n">
        <v>141793.12</v>
      </c>
      <c r="E8" t="inlineStr">
        <is>
          <t>Restaurant</t>
        </is>
      </c>
    </row>
    <row r="9">
      <c r="A9" t="inlineStr">
        <is>
          <t>9455-8236 QI</t>
        </is>
      </c>
      <c r="B9" t="inlineStr">
        <is>
          <t>Amortization</t>
        </is>
      </c>
      <c r="C9" t="inlineStr">
        <is>
          <t>FY2025</t>
        </is>
      </c>
      <c r="D9" s="95" t="n">
        <v>199058</v>
      </c>
      <c r="E9" t="inlineStr">
        <is>
          <t>Restaurant</t>
        </is>
      </c>
    </row>
    <row r="10">
      <c r="A10" t="inlineStr">
        <is>
          <t>9455-8236 QI</t>
        </is>
      </c>
      <c r="B10" t="inlineStr">
        <is>
          <t>COGS</t>
        </is>
      </c>
      <c r="C10" t="inlineStr">
        <is>
          <t>FY2025</t>
        </is>
      </c>
      <c r="D10" s="95" t="n">
        <v>1647558.89</v>
      </c>
      <c r="E10" t="inlineStr">
        <is>
          <t>Restaurant</t>
        </is>
      </c>
    </row>
    <row r="11">
      <c r="A11" t="inlineStr">
        <is>
          <t>9455-8236 QI</t>
        </is>
      </c>
      <c r="B11" t="inlineStr">
        <is>
          <t>Payroll &amp; Benefits</t>
        </is>
      </c>
      <c r="C11" t="inlineStr">
        <is>
          <t>FY2025</t>
        </is>
      </c>
      <c r="D11" s="95" t="n">
        <v>1780201.39</v>
      </c>
      <c r="E11" t="inlineStr">
        <is>
          <t>Restaurant</t>
        </is>
      </c>
    </row>
    <row r="12">
      <c r="A12" t="inlineStr">
        <is>
          <t>9455-8236 QI</t>
        </is>
      </c>
      <c r="B12" t="inlineStr">
        <is>
          <t>Repairs &amp; Maintenance</t>
        </is>
      </c>
      <c r="C12" t="inlineStr">
        <is>
          <t>FY2025</t>
        </is>
      </c>
      <c r="D12" s="95" t="n">
        <v>88959.36</v>
      </c>
      <c r="E12" t="inlineStr">
        <is>
          <t>Restaurant</t>
        </is>
      </c>
    </row>
    <row r="13">
      <c r="A13" t="inlineStr">
        <is>
          <t>9455-8236 QI</t>
        </is>
      </c>
      <c r="B13" t="inlineStr">
        <is>
          <t>Income Tax</t>
        </is>
      </c>
      <c r="C13" t="inlineStr">
        <is>
          <t>FY2025</t>
        </is>
      </c>
      <c r="D13" s="95" t="n">
        <v>62548</v>
      </c>
      <c r="E13" t="inlineStr">
        <is>
          <t>Restaurant</t>
        </is>
      </c>
    </row>
    <row r="14">
      <c r="A14" t="inlineStr">
        <is>
          <t>9455-8236 QI</t>
        </is>
      </c>
      <c r="B14" t="inlineStr">
        <is>
          <t>Operating Revenue</t>
        </is>
      </c>
      <c r="C14" t="inlineStr">
        <is>
          <t>FY2024</t>
        </is>
      </c>
      <c r="D14" s="95" t="n">
        <v>-6233247.68</v>
      </c>
      <c r="E14" t="inlineStr">
        <is>
          <t>Restaurant</t>
        </is>
      </c>
    </row>
    <row r="15">
      <c r="A15" t="inlineStr">
        <is>
          <t>9455-8236 QI</t>
        </is>
      </c>
      <c r="B15" t="inlineStr">
        <is>
          <t>Management Fees (Interco)</t>
        </is>
      </c>
      <c r="C15" t="inlineStr">
        <is>
          <t>FY2024</t>
        </is>
      </c>
      <c r="D15" s="95" t="n">
        <v>105000</v>
      </c>
      <c r="E15" t="inlineStr">
        <is>
          <t>Restaurant</t>
        </is>
      </c>
    </row>
    <row r="16">
      <c r="A16" t="inlineStr">
        <is>
          <t>9455-8236 QI</t>
        </is>
      </c>
      <c r="B16" t="inlineStr">
        <is>
          <t>Interest &amp; Financing</t>
        </is>
      </c>
      <c r="C16" t="inlineStr">
        <is>
          <t>FY2024</t>
        </is>
      </c>
      <c r="D16" s="95" t="n">
        <v>178561.41</v>
      </c>
      <c r="E16" t="inlineStr">
        <is>
          <t>Restaurant</t>
        </is>
      </c>
    </row>
    <row r="17">
      <c r="A17" t="inlineStr">
        <is>
          <t>9455-8236 QI</t>
        </is>
      </c>
      <c r="B17" t="inlineStr">
        <is>
          <t>Occupancy</t>
        </is>
      </c>
      <c r="C17" t="inlineStr">
        <is>
          <t>FY2024</t>
        </is>
      </c>
      <c r="D17" s="95" t="n">
        <v>382549.29</v>
      </c>
      <c r="E17" t="inlineStr">
        <is>
          <t>Restaurant</t>
        </is>
      </c>
    </row>
    <row r="18">
      <c r="A18" t="inlineStr">
        <is>
          <t>9455-8236 QI</t>
        </is>
      </c>
      <c r="B18" t="inlineStr">
        <is>
          <t>Other Operating</t>
        </is>
      </c>
      <c r="C18" t="inlineStr">
        <is>
          <t>FY2024</t>
        </is>
      </c>
      <c r="D18" s="95" t="n">
        <v>73281.73</v>
      </c>
      <c r="E18" t="inlineStr">
        <is>
          <t>Restaurant</t>
        </is>
      </c>
    </row>
    <row r="19">
      <c r="A19" t="inlineStr">
        <is>
          <t>9455-8236 QI</t>
        </is>
      </c>
      <c r="B19" t="inlineStr">
        <is>
          <t>Administrative</t>
        </is>
      </c>
      <c r="C19" t="inlineStr">
        <is>
          <t>FY2024</t>
        </is>
      </c>
      <c r="D19" s="95" t="n">
        <v>88387.59</v>
      </c>
      <c r="E19" t="inlineStr">
        <is>
          <t>Restaurant</t>
        </is>
      </c>
    </row>
    <row r="20">
      <c r="A20" t="inlineStr">
        <is>
          <t>9455-8236 QI</t>
        </is>
      </c>
      <c r="B20" t="inlineStr">
        <is>
          <t>Marketing &amp; Entertainment</t>
        </is>
      </c>
      <c r="C20" t="inlineStr">
        <is>
          <t>FY2024</t>
        </is>
      </c>
      <c r="D20" s="95" t="n">
        <v>161333.63</v>
      </c>
      <c r="E20" t="inlineStr">
        <is>
          <t>Restaurant</t>
        </is>
      </c>
    </row>
    <row r="21">
      <c r="A21" t="inlineStr">
        <is>
          <t>9455-8236 QI</t>
        </is>
      </c>
      <c r="B21" t="inlineStr">
        <is>
          <t>Amortization</t>
        </is>
      </c>
      <c r="C21" t="inlineStr">
        <is>
          <t>FY2024</t>
        </is>
      </c>
      <c r="D21" s="95" t="n">
        <v>222195</v>
      </c>
      <c r="E21" t="inlineStr">
        <is>
          <t>Restaurant</t>
        </is>
      </c>
    </row>
    <row r="22">
      <c r="A22" t="inlineStr">
        <is>
          <t>9455-8236 QI</t>
        </is>
      </c>
      <c r="B22" t="inlineStr">
        <is>
          <t>COGS</t>
        </is>
      </c>
      <c r="C22" t="inlineStr">
        <is>
          <t>FY2024</t>
        </is>
      </c>
      <c r="D22" s="95" t="n">
        <v>1888352.46</v>
      </c>
      <c r="E22" t="inlineStr">
        <is>
          <t>Restaurant</t>
        </is>
      </c>
    </row>
    <row r="23">
      <c r="A23" t="inlineStr">
        <is>
          <t>9455-8236 QI</t>
        </is>
      </c>
      <c r="B23" t="inlineStr">
        <is>
          <t>Payroll &amp; Benefits</t>
        </is>
      </c>
      <c r="C23" t="inlineStr">
        <is>
          <t>FY2024</t>
        </is>
      </c>
      <c r="D23" s="95" t="n">
        <v>2181636.69</v>
      </c>
      <c r="E23" t="inlineStr">
        <is>
          <t>Restaurant</t>
        </is>
      </c>
    </row>
    <row r="24">
      <c r="A24" t="inlineStr">
        <is>
          <t>9455-8236 QI</t>
        </is>
      </c>
      <c r="B24" t="inlineStr">
        <is>
          <t>Repairs &amp; Maintenance</t>
        </is>
      </c>
      <c r="C24" t="inlineStr">
        <is>
          <t>FY2024</t>
        </is>
      </c>
      <c r="D24" s="95" t="n">
        <v>214990.43</v>
      </c>
      <c r="E24" t="inlineStr">
        <is>
          <t>Restaurant</t>
        </is>
      </c>
    </row>
    <row r="25">
      <c r="A25" t="inlineStr">
        <is>
          <t>9455-8236 QI</t>
        </is>
      </c>
      <c r="B25" t="inlineStr">
        <is>
          <t>Operating Revenue</t>
        </is>
      </c>
      <c r="C25" t="inlineStr">
        <is>
          <t>FY2023</t>
        </is>
      </c>
      <c r="D25" s="95" t="n">
        <v>-1331424.61</v>
      </c>
      <c r="E25" t="inlineStr">
        <is>
          <t>Restaurant</t>
        </is>
      </c>
    </row>
    <row r="26">
      <c r="A26" t="inlineStr">
        <is>
          <t>9455-8236 QI</t>
        </is>
      </c>
      <c r="B26" t="inlineStr">
        <is>
          <t>Interest &amp; Financing</t>
        </is>
      </c>
      <c r="C26" t="inlineStr">
        <is>
          <t>FY2023</t>
        </is>
      </c>
      <c r="D26" s="95" t="n">
        <v>26989.26</v>
      </c>
      <c r="E26" t="inlineStr">
        <is>
          <t>Restaurant</t>
        </is>
      </c>
    </row>
    <row r="27">
      <c r="A27" t="inlineStr">
        <is>
          <t>9455-8236 QI</t>
        </is>
      </c>
      <c r="B27" t="inlineStr">
        <is>
          <t>Occupancy</t>
        </is>
      </c>
      <c r="C27" t="inlineStr">
        <is>
          <t>FY2023</t>
        </is>
      </c>
      <c r="D27" s="95" t="n">
        <v>47833.69</v>
      </c>
      <c r="E27" t="inlineStr">
        <is>
          <t>Restaurant</t>
        </is>
      </c>
    </row>
    <row r="28">
      <c r="A28" t="inlineStr">
        <is>
          <t>9455-8236 QI</t>
        </is>
      </c>
      <c r="B28" t="inlineStr">
        <is>
          <t>Other Operating</t>
        </is>
      </c>
      <c r="C28" t="inlineStr">
        <is>
          <t>FY2023</t>
        </is>
      </c>
      <c r="D28" s="95" t="n">
        <v>19176.77</v>
      </c>
      <c r="E28" t="inlineStr">
        <is>
          <t>Restaurant</t>
        </is>
      </c>
    </row>
    <row r="29">
      <c r="A29" t="inlineStr">
        <is>
          <t>9455-8236 QI</t>
        </is>
      </c>
      <c r="B29" t="inlineStr">
        <is>
          <t>Administrative</t>
        </is>
      </c>
      <c r="C29" t="inlineStr">
        <is>
          <t>FY2023</t>
        </is>
      </c>
      <c r="D29" s="95" t="n">
        <v>69851.5</v>
      </c>
      <c r="E29" t="inlineStr">
        <is>
          <t>Restaurant</t>
        </is>
      </c>
    </row>
    <row r="30">
      <c r="A30" t="inlineStr">
        <is>
          <t>9455-8236 QI</t>
        </is>
      </c>
      <c r="B30" t="inlineStr">
        <is>
          <t>Marketing &amp; Entertainment</t>
        </is>
      </c>
      <c r="C30" t="inlineStr">
        <is>
          <t>FY2023</t>
        </is>
      </c>
      <c r="D30" s="95" t="n">
        <v>24668.14</v>
      </c>
      <c r="E30" t="inlineStr">
        <is>
          <t>Restaurant</t>
        </is>
      </c>
    </row>
    <row r="31">
      <c r="A31" t="inlineStr">
        <is>
          <t>9455-8236 QI</t>
        </is>
      </c>
      <c r="B31" t="inlineStr">
        <is>
          <t>Amortization</t>
        </is>
      </c>
      <c r="C31" t="inlineStr">
        <is>
          <t>FY2023</t>
        </is>
      </c>
      <c r="D31" s="95" t="n">
        <v>126996</v>
      </c>
      <c r="E31" t="inlineStr">
        <is>
          <t>Restaurant</t>
        </is>
      </c>
    </row>
    <row r="32">
      <c r="A32" t="inlineStr">
        <is>
          <t>9455-8236 QI</t>
        </is>
      </c>
      <c r="B32" t="inlineStr">
        <is>
          <t>COGS</t>
        </is>
      </c>
      <c r="C32" t="inlineStr">
        <is>
          <t>FY2023</t>
        </is>
      </c>
      <c r="D32" s="95" t="n">
        <v>394933.77</v>
      </c>
      <c r="E32" t="inlineStr">
        <is>
          <t>Restaurant</t>
        </is>
      </c>
    </row>
    <row r="33">
      <c r="A33" t="inlineStr">
        <is>
          <t>9455-8236 QI</t>
        </is>
      </c>
      <c r="B33" t="inlineStr">
        <is>
          <t>Payroll &amp; Benefits</t>
        </is>
      </c>
      <c r="C33" t="inlineStr">
        <is>
          <t>FY2023</t>
        </is>
      </c>
      <c r="D33" s="95" t="n">
        <v>365807.86</v>
      </c>
      <c r="E33" t="inlineStr">
        <is>
          <t>Restaurant</t>
        </is>
      </c>
    </row>
    <row r="34">
      <c r="A34" t="inlineStr">
        <is>
          <t>9455-8236 QI</t>
        </is>
      </c>
      <c r="B34" t="inlineStr">
        <is>
          <t>Repairs &amp; Maintenance</t>
        </is>
      </c>
      <c r="C34" t="inlineStr">
        <is>
          <t>FY2023</t>
        </is>
      </c>
      <c r="D34" s="95" t="n">
        <v>42134.25</v>
      </c>
      <c r="E34" t="inlineStr">
        <is>
          <t>Restaurant</t>
        </is>
      </c>
    </row>
    <row r="35">
      <c r="A35" t="inlineStr">
        <is>
          <t>9357-7427 QI</t>
        </is>
      </c>
      <c r="B35" t="inlineStr">
        <is>
          <t>Payroll &amp; Benefits</t>
        </is>
      </c>
      <c r="C35" t="inlineStr">
        <is>
          <t>FY2025</t>
        </is>
      </c>
      <c r="D35" s="95" t="n">
        <v>477.24</v>
      </c>
      <c r="E35" t="inlineStr">
        <is>
          <t>Construction</t>
        </is>
      </c>
    </row>
    <row r="36">
      <c r="A36" t="inlineStr">
        <is>
          <t>9357-7427 QI</t>
        </is>
      </c>
      <c r="B36" t="inlineStr">
        <is>
          <t>Administrative</t>
        </is>
      </c>
      <c r="C36" t="inlineStr">
        <is>
          <t>FY2025</t>
        </is>
      </c>
      <c r="D36" s="95" t="n">
        <v>2597</v>
      </c>
      <c r="E36" t="inlineStr">
        <is>
          <t>Construction</t>
        </is>
      </c>
    </row>
    <row r="37">
      <c r="A37" t="inlineStr">
        <is>
          <t>9357-7427 QI</t>
        </is>
      </c>
      <c r="B37" t="inlineStr">
        <is>
          <t>Interest &amp; Financing</t>
        </is>
      </c>
      <c r="C37" t="inlineStr">
        <is>
          <t>FY2025</t>
        </is>
      </c>
      <c r="D37" s="95" t="n">
        <v>72.58</v>
      </c>
      <c r="E37" t="inlineStr">
        <is>
          <t>Construction</t>
        </is>
      </c>
    </row>
    <row r="38">
      <c r="A38" t="inlineStr">
        <is>
          <t>9357-7427 QI</t>
        </is>
      </c>
      <c r="B38" t="inlineStr">
        <is>
          <t>Payroll &amp; Benefits</t>
        </is>
      </c>
      <c r="C38" t="inlineStr">
        <is>
          <t>FY2024</t>
        </is>
      </c>
      <c r="D38" s="95" t="n">
        <v>358.94</v>
      </c>
      <c r="E38" t="inlineStr">
        <is>
          <t>Construction</t>
        </is>
      </c>
    </row>
    <row r="39">
      <c r="A39" t="inlineStr">
        <is>
          <t>9357-7427 QI</t>
        </is>
      </c>
      <c r="B39" t="inlineStr">
        <is>
          <t>Administrative</t>
        </is>
      </c>
      <c r="C39" t="inlineStr">
        <is>
          <t>FY2024</t>
        </is>
      </c>
      <c r="D39" s="95" t="n">
        <v>2329</v>
      </c>
      <c r="E39" t="inlineStr">
        <is>
          <t>Construction</t>
        </is>
      </c>
    </row>
    <row r="40">
      <c r="A40" t="inlineStr">
        <is>
          <t>9357-7427 QI</t>
        </is>
      </c>
      <c r="B40" t="inlineStr">
        <is>
          <t>Interest &amp; Financing</t>
        </is>
      </c>
      <c r="C40" t="inlineStr">
        <is>
          <t>FY2024</t>
        </is>
      </c>
      <c r="D40" s="95" t="n">
        <v>47.81</v>
      </c>
      <c r="E40" t="inlineStr">
        <is>
          <t>Construction</t>
        </is>
      </c>
    </row>
    <row r="41">
      <c r="A41" t="inlineStr">
        <is>
          <t>9357-7427 QI</t>
        </is>
      </c>
      <c r="B41" t="inlineStr">
        <is>
          <t>Operating Revenue</t>
        </is>
      </c>
      <c r="C41" t="inlineStr">
        <is>
          <t>FY2023</t>
        </is>
      </c>
      <c r="D41" s="95" t="n">
        <v>-31929</v>
      </c>
      <c r="E41" t="inlineStr">
        <is>
          <t>Construction</t>
        </is>
      </c>
    </row>
    <row r="42">
      <c r="A42" t="inlineStr">
        <is>
          <t>9357-7427 QI</t>
        </is>
      </c>
      <c r="B42" t="inlineStr">
        <is>
          <t>COGS</t>
        </is>
      </c>
      <c r="C42" t="inlineStr">
        <is>
          <t>FY2023</t>
        </is>
      </c>
      <c r="D42" s="95" t="n">
        <v>29026.44</v>
      </c>
      <c r="E42" t="inlineStr">
        <is>
          <t>Construction</t>
        </is>
      </c>
    </row>
    <row r="43">
      <c r="A43" t="inlineStr">
        <is>
          <t>9357-7427 QI</t>
        </is>
      </c>
      <c r="B43" t="inlineStr">
        <is>
          <t>Payroll &amp; Benefits</t>
        </is>
      </c>
      <c r="C43" t="inlineStr">
        <is>
          <t>FY2023</t>
        </is>
      </c>
      <c r="D43" s="95" t="n">
        <v>90</v>
      </c>
      <c r="E43" t="inlineStr">
        <is>
          <t>Construction</t>
        </is>
      </c>
    </row>
    <row r="44">
      <c r="A44" t="inlineStr">
        <is>
          <t>9357-7427 QI</t>
        </is>
      </c>
      <c r="B44" t="inlineStr">
        <is>
          <t>Administrative</t>
        </is>
      </c>
      <c r="C44" t="inlineStr">
        <is>
          <t>FY2023</t>
        </is>
      </c>
      <c r="D44" s="95" t="n">
        <v>27273.26</v>
      </c>
      <c r="E44" t="inlineStr">
        <is>
          <t>Construction</t>
        </is>
      </c>
    </row>
    <row r="45">
      <c r="A45" t="inlineStr">
        <is>
          <t>9357-7427 QI</t>
        </is>
      </c>
      <c r="B45" t="inlineStr">
        <is>
          <t>Interest &amp; Financing</t>
        </is>
      </c>
      <c r="C45" t="inlineStr">
        <is>
          <t>FY2023</t>
        </is>
      </c>
      <c r="D45" s="95" t="n">
        <v>71.40000000000001</v>
      </c>
      <c r="E45" t="inlineStr">
        <is>
          <t>Construction</t>
        </is>
      </c>
    </row>
    <row r="46">
      <c r="A46" t="inlineStr">
        <is>
          <t>9366-1676 QI</t>
        </is>
      </c>
      <c r="B46" t="inlineStr">
        <is>
          <t>Operating Revenue</t>
        </is>
      </c>
      <c r="C46" t="inlineStr">
        <is>
          <t>FY2025</t>
        </is>
      </c>
      <c r="D46" s="95" t="n">
        <v>-190152.12</v>
      </c>
      <c r="E46" t="inlineStr">
        <is>
          <t>Real estate</t>
        </is>
      </c>
    </row>
    <row r="47">
      <c r="A47" t="inlineStr">
        <is>
          <t>9366-1676 QI</t>
        </is>
      </c>
      <c r="B47" t="inlineStr">
        <is>
          <t>Interest &amp; Financing</t>
        </is>
      </c>
      <c r="C47" t="inlineStr">
        <is>
          <t>FY2025</t>
        </is>
      </c>
      <c r="D47" s="95" t="n">
        <v>396762.02</v>
      </c>
      <c r="E47" t="inlineStr">
        <is>
          <t>Real estate</t>
        </is>
      </c>
    </row>
    <row r="48">
      <c r="A48" t="inlineStr">
        <is>
          <t>9366-1676 QI</t>
        </is>
      </c>
      <c r="B48" t="inlineStr">
        <is>
          <t>Amortization</t>
        </is>
      </c>
      <c r="C48" t="inlineStr">
        <is>
          <t>FY2025</t>
        </is>
      </c>
      <c r="D48" s="95" t="n">
        <v>204136</v>
      </c>
      <c r="E48" t="inlineStr">
        <is>
          <t>Real estate</t>
        </is>
      </c>
    </row>
    <row r="49">
      <c r="A49" t="inlineStr">
        <is>
          <t>9366-1676 QI</t>
        </is>
      </c>
      <c r="B49" t="inlineStr">
        <is>
          <t>Administrative</t>
        </is>
      </c>
      <c r="C49" t="inlineStr">
        <is>
          <t>FY2025</t>
        </is>
      </c>
      <c r="D49" s="95" t="n">
        <v>215463.66</v>
      </c>
      <c r="E49" t="inlineStr">
        <is>
          <t>Real estate</t>
        </is>
      </c>
    </row>
    <row r="50">
      <c r="A50" t="inlineStr">
        <is>
          <t>9366-1676 QI</t>
        </is>
      </c>
      <c r="B50" t="inlineStr">
        <is>
          <t>Occupancy</t>
        </is>
      </c>
      <c r="C50" t="inlineStr">
        <is>
          <t>FY2025</t>
        </is>
      </c>
      <c r="D50" s="95" t="n">
        <v>33717.57</v>
      </c>
      <c r="E50" t="inlineStr">
        <is>
          <t>Real estate</t>
        </is>
      </c>
    </row>
    <row r="51">
      <c r="A51" t="inlineStr">
        <is>
          <t>9366-1676 QI</t>
        </is>
      </c>
      <c r="B51" t="inlineStr">
        <is>
          <t>Repairs &amp; Maintenance</t>
        </is>
      </c>
      <c r="C51" t="inlineStr">
        <is>
          <t>FY2025</t>
        </is>
      </c>
      <c r="D51" s="95" t="n">
        <v>425</v>
      </c>
      <c r="E51" t="inlineStr">
        <is>
          <t>Real estate</t>
        </is>
      </c>
    </row>
    <row r="52">
      <c r="A52" t="inlineStr">
        <is>
          <t>9366-1676 QI</t>
        </is>
      </c>
      <c r="B52" t="inlineStr">
        <is>
          <t>Operating Revenue</t>
        </is>
      </c>
      <c r="C52" t="inlineStr">
        <is>
          <t>FY2024</t>
        </is>
      </c>
      <c r="D52" s="95" t="n">
        <v>-188197.75</v>
      </c>
      <c r="E52" t="inlineStr">
        <is>
          <t>Real estate</t>
        </is>
      </c>
    </row>
    <row r="53">
      <c r="A53" t="inlineStr">
        <is>
          <t>9366-1676 QI</t>
        </is>
      </c>
      <c r="B53" t="inlineStr">
        <is>
          <t>Interest &amp; Financing</t>
        </is>
      </c>
      <c r="C53" t="inlineStr">
        <is>
          <t>FY2024</t>
        </is>
      </c>
      <c r="D53" s="95" t="n">
        <v>219534.62</v>
      </c>
      <c r="E53" t="inlineStr">
        <is>
          <t>Real estate</t>
        </is>
      </c>
    </row>
    <row r="54">
      <c r="A54" t="inlineStr">
        <is>
          <t>9366-1676 QI</t>
        </is>
      </c>
      <c r="B54" t="inlineStr">
        <is>
          <t>Amortization</t>
        </is>
      </c>
      <c r="C54" t="inlineStr">
        <is>
          <t>FY2024</t>
        </is>
      </c>
      <c r="D54" s="95" t="n">
        <v>94472</v>
      </c>
      <c r="E54" t="inlineStr">
        <is>
          <t>Real estate</t>
        </is>
      </c>
    </row>
    <row r="55">
      <c r="A55" t="inlineStr">
        <is>
          <t>9366-1676 QI</t>
        </is>
      </c>
      <c r="B55" t="inlineStr">
        <is>
          <t>Administrative</t>
        </is>
      </c>
      <c r="C55" t="inlineStr">
        <is>
          <t>FY2024</t>
        </is>
      </c>
      <c r="D55" s="95" t="n">
        <v>152117.58</v>
      </c>
      <c r="E55" t="inlineStr">
        <is>
          <t>Real estate</t>
        </is>
      </c>
    </row>
    <row r="56">
      <c r="A56" t="inlineStr">
        <is>
          <t>9366-1676 QI</t>
        </is>
      </c>
      <c r="B56" t="inlineStr">
        <is>
          <t>Occupancy</t>
        </is>
      </c>
      <c r="C56" t="inlineStr">
        <is>
          <t>FY2024</t>
        </is>
      </c>
      <c r="D56" s="95" t="n">
        <v>16431.97</v>
      </c>
      <c r="E56" t="inlineStr">
        <is>
          <t>Real estate</t>
        </is>
      </c>
    </row>
    <row r="57">
      <c r="A57" t="inlineStr">
        <is>
          <t>9366-1676 QI</t>
        </is>
      </c>
      <c r="B57" t="inlineStr">
        <is>
          <t>Operating Revenue</t>
        </is>
      </c>
      <c r="C57" t="inlineStr">
        <is>
          <t>FY2023</t>
        </is>
      </c>
      <c r="D57" s="95" t="n">
        <v>-220172.35</v>
      </c>
      <c r="E57" t="inlineStr">
        <is>
          <t>Real estate</t>
        </is>
      </c>
    </row>
    <row r="58">
      <c r="A58" t="inlineStr">
        <is>
          <t>9366-1676 QI</t>
        </is>
      </c>
      <c r="B58" t="inlineStr">
        <is>
          <t>Management Fees (Interco)</t>
        </is>
      </c>
      <c r="C58" t="inlineStr">
        <is>
          <t>FY2023</t>
        </is>
      </c>
      <c r="D58" s="95" t="n">
        <v>-12000</v>
      </c>
      <c r="E58" t="inlineStr">
        <is>
          <t>Real estate</t>
        </is>
      </c>
    </row>
    <row r="59">
      <c r="A59" t="inlineStr">
        <is>
          <t>9366-1676 QI</t>
        </is>
      </c>
      <c r="B59" t="inlineStr">
        <is>
          <t>Interest &amp; Financing</t>
        </is>
      </c>
      <c r="C59" t="inlineStr">
        <is>
          <t>FY2023</t>
        </is>
      </c>
      <c r="D59" s="95" t="n">
        <v>80807.78</v>
      </c>
      <c r="E59" t="inlineStr">
        <is>
          <t>Real estate</t>
        </is>
      </c>
    </row>
    <row r="60">
      <c r="A60" t="inlineStr">
        <is>
          <t>9366-1676 QI</t>
        </is>
      </c>
      <c r="B60" t="inlineStr">
        <is>
          <t>Amortization</t>
        </is>
      </c>
      <c r="C60" t="inlineStr">
        <is>
          <t>FY2023</t>
        </is>
      </c>
      <c r="D60" s="95" t="n">
        <v>94975</v>
      </c>
      <c r="E60" t="inlineStr">
        <is>
          <t>Real estate</t>
        </is>
      </c>
    </row>
    <row r="61">
      <c r="A61" t="inlineStr">
        <is>
          <t>9366-1676 QI</t>
        </is>
      </c>
      <c r="B61" t="inlineStr">
        <is>
          <t>Administrative</t>
        </is>
      </c>
      <c r="C61" t="inlineStr">
        <is>
          <t>FY2023</t>
        </is>
      </c>
      <c r="D61" s="95" t="n">
        <v>121093.68</v>
      </c>
      <c r="E61" t="inlineStr">
        <is>
          <t>Real estate</t>
        </is>
      </c>
    </row>
    <row r="62">
      <c r="A62" t="inlineStr">
        <is>
          <t>9366-1676 QI</t>
        </is>
      </c>
      <c r="B62" t="inlineStr">
        <is>
          <t>Occupancy</t>
        </is>
      </c>
      <c r="C62" t="inlineStr">
        <is>
          <t>FY2023</t>
        </is>
      </c>
      <c r="D62" s="95" t="n">
        <v>13011.85</v>
      </c>
      <c r="E62" t="inlineStr">
        <is>
          <t>Real estate</t>
        </is>
      </c>
    </row>
    <row r="63">
      <c r="A63" t="inlineStr">
        <is>
          <t>9366-1676 QI</t>
        </is>
      </c>
      <c r="B63" t="inlineStr">
        <is>
          <t>Repairs &amp; Maintenance</t>
        </is>
      </c>
      <c r="C63" t="inlineStr">
        <is>
          <t>FY2023</t>
        </is>
      </c>
      <c r="D63" s="95" t="n">
        <v>7000</v>
      </c>
      <c r="E63" t="inlineStr">
        <is>
          <t>Real estate</t>
        </is>
      </c>
    </row>
    <row r="64">
      <c r="A64" t="inlineStr">
        <is>
          <t>9425-4547 QI</t>
        </is>
      </c>
      <c r="B64" t="inlineStr">
        <is>
          <t>Operating Revenue</t>
        </is>
      </c>
      <c r="C64" t="inlineStr">
        <is>
          <t>FY2025</t>
        </is>
      </c>
      <c r="D64" s="95" t="n">
        <v>-273186</v>
      </c>
      <c r="E64" t="inlineStr">
        <is>
          <t>Real estate</t>
        </is>
      </c>
    </row>
    <row r="65">
      <c r="A65" t="inlineStr">
        <is>
          <t>9425-4547 QI</t>
        </is>
      </c>
      <c r="B65" t="inlineStr">
        <is>
          <t>Investment &amp; Other Income</t>
        </is>
      </c>
      <c r="C65" t="inlineStr">
        <is>
          <t>FY2025</t>
        </is>
      </c>
      <c r="D65" s="95" t="n">
        <v>-84146.62</v>
      </c>
      <c r="E65" t="inlineStr">
        <is>
          <t>Real estate</t>
        </is>
      </c>
    </row>
    <row r="66">
      <c r="A66" t="inlineStr">
        <is>
          <t>9425-4547 QI</t>
        </is>
      </c>
      <c r="B66" t="inlineStr">
        <is>
          <t>Interest &amp; Financing</t>
        </is>
      </c>
      <c r="C66" t="inlineStr">
        <is>
          <t>FY2025</t>
        </is>
      </c>
      <c r="D66" s="95" t="n">
        <v>147839</v>
      </c>
      <c r="E66" t="inlineStr">
        <is>
          <t>Real estate</t>
        </is>
      </c>
    </row>
    <row r="67">
      <c r="A67" t="inlineStr">
        <is>
          <t>9425-4547 QI</t>
        </is>
      </c>
      <c r="B67" t="inlineStr">
        <is>
          <t>Amortization</t>
        </is>
      </c>
      <c r="C67" t="inlineStr">
        <is>
          <t>FY2025</t>
        </is>
      </c>
      <c r="D67" s="95" t="n">
        <v>14870</v>
      </c>
      <c r="E67" t="inlineStr">
        <is>
          <t>Real estate</t>
        </is>
      </c>
    </row>
    <row r="68">
      <c r="A68" t="inlineStr">
        <is>
          <t>9425-4547 QI</t>
        </is>
      </c>
      <c r="B68" t="inlineStr">
        <is>
          <t>Administrative</t>
        </is>
      </c>
      <c r="C68" t="inlineStr">
        <is>
          <t>FY2025</t>
        </is>
      </c>
      <c r="D68" s="95" t="n">
        <v>81647.35000000001</v>
      </c>
      <c r="E68" t="inlineStr">
        <is>
          <t>Real estate</t>
        </is>
      </c>
    </row>
    <row r="69">
      <c r="A69" t="inlineStr">
        <is>
          <t>9425-4547 QI</t>
        </is>
      </c>
      <c r="B69" t="inlineStr">
        <is>
          <t>Occupancy</t>
        </is>
      </c>
      <c r="C69" t="inlineStr">
        <is>
          <t>FY2025</t>
        </is>
      </c>
      <c r="D69" s="95" t="n">
        <v>8110.21</v>
      </c>
      <c r="E69" t="inlineStr">
        <is>
          <t>Real estate</t>
        </is>
      </c>
    </row>
    <row r="70">
      <c r="A70" t="inlineStr">
        <is>
          <t>9425-4547 QI</t>
        </is>
      </c>
      <c r="B70" t="inlineStr">
        <is>
          <t>Income Tax</t>
        </is>
      </c>
      <c r="C70" t="inlineStr">
        <is>
          <t>FY2025</t>
        </is>
      </c>
      <c r="D70" s="95" t="n">
        <v>14359</v>
      </c>
      <c r="E70" t="inlineStr">
        <is>
          <t>Real estate</t>
        </is>
      </c>
    </row>
    <row r="71">
      <c r="A71" t="inlineStr">
        <is>
          <t>9425-4547 QI</t>
        </is>
      </c>
      <c r="B71" t="inlineStr">
        <is>
          <t>Operating Revenue</t>
        </is>
      </c>
      <c r="C71" t="inlineStr">
        <is>
          <t>FY2024</t>
        </is>
      </c>
      <c r="D71" s="95" t="n">
        <v>-247975</v>
      </c>
      <c r="E71" t="inlineStr">
        <is>
          <t>Real estate</t>
        </is>
      </c>
    </row>
    <row r="72">
      <c r="A72" t="inlineStr">
        <is>
          <t>9425-4547 QI</t>
        </is>
      </c>
      <c r="B72" t="inlineStr">
        <is>
          <t>Investment &amp; Other Income</t>
        </is>
      </c>
      <c r="C72" t="inlineStr">
        <is>
          <t>FY2024</t>
        </is>
      </c>
      <c r="D72" s="95" t="n">
        <v>-62108.84</v>
      </c>
      <c r="E72" t="inlineStr">
        <is>
          <t>Real estate</t>
        </is>
      </c>
    </row>
    <row r="73">
      <c r="A73" t="inlineStr">
        <is>
          <t>9425-4547 QI</t>
        </is>
      </c>
      <c r="B73" t="inlineStr">
        <is>
          <t>Interest &amp; Financing</t>
        </is>
      </c>
      <c r="C73" t="inlineStr">
        <is>
          <t>FY2024</t>
        </is>
      </c>
      <c r="D73" s="95" t="n">
        <v>108814.51</v>
      </c>
      <c r="E73" t="inlineStr">
        <is>
          <t>Real estate</t>
        </is>
      </c>
    </row>
    <row r="74">
      <c r="A74" t="inlineStr">
        <is>
          <t>9425-4547 QI</t>
        </is>
      </c>
      <c r="B74" t="inlineStr">
        <is>
          <t>Amortization</t>
        </is>
      </c>
      <c r="C74" t="inlineStr">
        <is>
          <t>FY2024</t>
        </is>
      </c>
      <c r="D74" s="95" t="n">
        <v>15473</v>
      </c>
      <c r="E74" t="inlineStr">
        <is>
          <t>Real estate</t>
        </is>
      </c>
    </row>
    <row r="75">
      <c r="A75" t="inlineStr">
        <is>
          <t>9425-4547 QI</t>
        </is>
      </c>
      <c r="B75" t="inlineStr">
        <is>
          <t>Administrative</t>
        </is>
      </c>
      <c r="C75" t="inlineStr">
        <is>
          <t>FY2024</t>
        </is>
      </c>
      <c r="D75" s="95" t="n">
        <v>84635.60000000001</v>
      </c>
      <c r="E75" t="inlineStr">
        <is>
          <t>Real estate</t>
        </is>
      </c>
    </row>
    <row r="76">
      <c r="A76" t="inlineStr">
        <is>
          <t>9425-4547 QI</t>
        </is>
      </c>
      <c r="B76" t="inlineStr">
        <is>
          <t>Occupancy</t>
        </is>
      </c>
      <c r="C76" t="inlineStr">
        <is>
          <t>FY2024</t>
        </is>
      </c>
      <c r="D76" s="95" t="n">
        <v>6455.93</v>
      </c>
      <c r="E76" t="inlineStr">
        <is>
          <t>Real estate</t>
        </is>
      </c>
    </row>
    <row r="77">
      <c r="A77" t="inlineStr">
        <is>
          <t>9425-4547 QI</t>
        </is>
      </c>
      <c r="B77" t="inlineStr">
        <is>
          <t>Income Tax</t>
        </is>
      </c>
      <c r="C77" t="inlineStr">
        <is>
          <t>FY2024</t>
        </is>
      </c>
      <c r="D77" s="95" t="n">
        <v>13363</v>
      </c>
      <c r="E77" t="inlineStr">
        <is>
          <t>Real estate</t>
        </is>
      </c>
    </row>
    <row r="78">
      <c r="A78" t="inlineStr">
        <is>
          <t>9425-4547 QI</t>
        </is>
      </c>
      <c r="B78" t="inlineStr">
        <is>
          <t>Operating Revenue</t>
        </is>
      </c>
      <c r="C78" t="inlineStr">
        <is>
          <t>FY2023</t>
        </is>
      </c>
      <c r="D78" s="95" t="n">
        <v>-234180</v>
      </c>
      <c r="E78" t="inlineStr">
        <is>
          <t>Real estate</t>
        </is>
      </c>
    </row>
    <row r="79">
      <c r="A79" t="inlineStr">
        <is>
          <t>9425-4547 QI</t>
        </is>
      </c>
      <c r="B79" t="inlineStr">
        <is>
          <t>Management Fees (Interco)</t>
        </is>
      </c>
      <c r="C79" t="inlineStr">
        <is>
          <t>FY2023</t>
        </is>
      </c>
      <c r="D79" s="95" t="n">
        <v>12000</v>
      </c>
      <c r="E79" t="inlineStr">
        <is>
          <t>Real estate</t>
        </is>
      </c>
    </row>
    <row r="80">
      <c r="A80" t="inlineStr">
        <is>
          <t>9425-4547 QI</t>
        </is>
      </c>
      <c r="B80" t="inlineStr">
        <is>
          <t>Investment &amp; Other Income</t>
        </is>
      </c>
      <c r="C80" t="inlineStr">
        <is>
          <t>FY2023</t>
        </is>
      </c>
      <c r="D80" s="95" t="n">
        <v>5374.62</v>
      </c>
      <c r="E80" t="inlineStr">
        <is>
          <t>Real estate</t>
        </is>
      </c>
    </row>
    <row r="81">
      <c r="A81" t="inlineStr">
        <is>
          <t>9425-4547 QI</t>
        </is>
      </c>
      <c r="B81" t="inlineStr">
        <is>
          <t>Interest &amp; Financing</t>
        </is>
      </c>
      <c r="C81" t="inlineStr">
        <is>
          <t>FY2023</t>
        </is>
      </c>
      <c r="D81" s="95" t="n">
        <v>55542</v>
      </c>
      <c r="E81" t="inlineStr">
        <is>
          <t>Real estate</t>
        </is>
      </c>
    </row>
    <row r="82">
      <c r="A82" t="inlineStr">
        <is>
          <t>9425-4547 QI</t>
        </is>
      </c>
      <c r="B82" t="inlineStr">
        <is>
          <t>Amortization</t>
        </is>
      </c>
      <c r="C82" t="inlineStr">
        <is>
          <t>FY2023</t>
        </is>
      </c>
      <c r="D82" s="95" t="n">
        <v>15710</v>
      </c>
      <c r="E82" t="inlineStr">
        <is>
          <t>Real estate</t>
        </is>
      </c>
    </row>
    <row r="83">
      <c r="A83" t="inlineStr">
        <is>
          <t>9425-4547 QI</t>
        </is>
      </c>
      <c r="B83" t="inlineStr">
        <is>
          <t>Administrative</t>
        </is>
      </c>
      <c r="C83" t="inlineStr">
        <is>
          <t>FY2023</t>
        </is>
      </c>
      <c r="D83" s="95" t="n">
        <v>88267.41</v>
      </c>
      <c r="E83" t="inlineStr">
        <is>
          <t>Real estate</t>
        </is>
      </c>
    </row>
    <row r="84">
      <c r="A84" t="inlineStr">
        <is>
          <t>9425-4547 QI</t>
        </is>
      </c>
      <c r="B84" t="inlineStr">
        <is>
          <t>Occupancy</t>
        </is>
      </c>
      <c r="C84" t="inlineStr">
        <is>
          <t>FY2023</t>
        </is>
      </c>
      <c r="D84" s="95" t="n">
        <v>5719.82</v>
      </c>
      <c r="E84" t="inlineStr">
        <is>
          <t>Real estate</t>
        </is>
      </c>
    </row>
    <row r="85">
      <c r="A85" t="inlineStr">
        <is>
          <t>9425-4547 QI</t>
        </is>
      </c>
      <c r="B85" t="inlineStr">
        <is>
          <t>Income Tax</t>
        </is>
      </c>
      <c r="C85" t="inlineStr">
        <is>
          <t>FY2023</t>
        </is>
      </c>
      <c r="D85" s="95" t="n">
        <v>13857</v>
      </c>
      <c r="E85" t="inlineStr">
        <is>
          <t>Real estate</t>
        </is>
      </c>
    </row>
    <row r="86">
      <c r="A86" t="inlineStr">
        <is>
          <t>9455-4169 QI</t>
        </is>
      </c>
      <c r="B86" t="inlineStr">
        <is>
          <t>Administrative</t>
        </is>
      </c>
      <c r="C86" t="inlineStr">
        <is>
          <t>FY2025</t>
        </is>
      </c>
      <c r="D86" s="95" t="n">
        <v>2994</v>
      </c>
      <c r="E86" t="inlineStr">
        <is>
          <t>Investments</t>
        </is>
      </c>
    </row>
    <row r="87">
      <c r="A87" t="inlineStr">
        <is>
          <t>9455-4169 QI</t>
        </is>
      </c>
      <c r="B87" t="inlineStr">
        <is>
          <t>Interest &amp; Financing</t>
        </is>
      </c>
      <c r="C87" t="inlineStr">
        <is>
          <t>FY2025</t>
        </is>
      </c>
      <c r="D87" s="95" t="n">
        <v>71.34999999999999</v>
      </c>
      <c r="E87" t="inlineStr">
        <is>
          <t>Investments</t>
        </is>
      </c>
    </row>
    <row r="88">
      <c r="A88" t="inlineStr">
        <is>
          <t>9455-4169 QI</t>
        </is>
      </c>
      <c r="B88" t="inlineStr">
        <is>
          <t>Administrative</t>
        </is>
      </c>
      <c r="C88" t="inlineStr">
        <is>
          <t>FY2024</t>
        </is>
      </c>
      <c r="D88" s="95" t="n">
        <v>3085</v>
      </c>
      <c r="E88" t="inlineStr">
        <is>
          <t>Investments</t>
        </is>
      </c>
    </row>
    <row r="89">
      <c r="A89" t="inlineStr">
        <is>
          <t>9455-4169 QI</t>
        </is>
      </c>
      <c r="B89" t="inlineStr">
        <is>
          <t>Interest &amp; Financing</t>
        </is>
      </c>
      <c r="C89" t="inlineStr">
        <is>
          <t>FY2024</t>
        </is>
      </c>
      <c r="D89" s="95" t="n">
        <v>163.14</v>
      </c>
      <c r="E89" t="inlineStr">
        <is>
          <t>Investments</t>
        </is>
      </c>
    </row>
    <row r="90">
      <c r="A90" t="inlineStr">
        <is>
          <t>9455-4169 QI</t>
        </is>
      </c>
      <c r="B90" t="inlineStr">
        <is>
          <t>Administrative</t>
        </is>
      </c>
      <c r="C90" t="inlineStr">
        <is>
          <t>FY2023</t>
        </is>
      </c>
      <c r="D90" s="95" t="n">
        <v>4995</v>
      </c>
      <c r="E90" t="inlineStr">
        <is>
          <t>Investments</t>
        </is>
      </c>
    </row>
    <row r="91">
      <c r="A91" t="inlineStr">
        <is>
          <t>9455-4169 QI</t>
        </is>
      </c>
      <c r="B91" t="inlineStr">
        <is>
          <t>Interest &amp; Financing</t>
        </is>
      </c>
      <c r="C91" t="inlineStr">
        <is>
          <t>FY2023</t>
        </is>
      </c>
      <c r="D91" s="95" t="n">
        <v>53.55</v>
      </c>
      <c r="E91" t="inlineStr">
        <is>
          <t>Investments</t>
        </is>
      </c>
    </row>
    <row r="92">
      <c r="A92" t="inlineStr">
        <is>
          <t>9455-4177 QI</t>
        </is>
      </c>
      <c r="B92" t="inlineStr">
        <is>
          <t>Administrative</t>
        </is>
      </c>
      <c r="C92" t="inlineStr">
        <is>
          <t>FY2025</t>
        </is>
      </c>
      <c r="D92" s="95" t="n">
        <v>2944</v>
      </c>
      <c r="E92" t="inlineStr">
        <is>
          <t>Investments</t>
        </is>
      </c>
    </row>
    <row r="93">
      <c r="A93" t="inlineStr">
        <is>
          <t>9455-4177 QI</t>
        </is>
      </c>
      <c r="B93" t="inlineStr">
        <is>
          <t>Interest &amp; Financing</t>
        </is>
      </c>
      <c r="C93" t="inlineStr">
        <is>
          <t>FY2025</t>
        </is>
      </c>
      <c r="D93" s="95" t="n">
        <v>71.31</v>
      </c>
      <c r="E93" t="inlineStr">
        <is>
          <t>Investments</t>
        </is>
      </c>
    </row>
    <row r="94">
      <c r="A94" t="inlineStr">
        <is>
          <t>9455-4177 QI</t>
        </is>
      </c>
      <c r="B94" t="inlineStr">
        <is>
          <t>Administrative</t>
        </is>
      </c>
      <c r="C94" t="inlineStr">
        <is>
          <t>FY2024</t>
        </is>
      </c>
      <c r="D94" s="95" t="n">
        <v>2797</v>
      </c>
      <c r="E94" t="inlineStr">
        <is>
          <t>Investments</t>
        </is>
      </c>
    </row>
    <row r="95">
      <c r="A95" t="inlineStr">
        <is>
          <t>9455-4177 QI</t>
        </is>
      </c>
      <c r="B95" t="inlineStr">
        <is>
          <t>Interest &amp; Financing</t>
        </is>
      </c>
      <c r="C95" t="inlineStr">
        <is>
          <t>FY2024</t>
        </is>
      </c>
      <c r="D95" s="95" t="n">
        <v>148.11</v>
      </c>
      <c r="E95" t="inlineStr">
        <is>
          <t>Investments</t>
        </is>
      </c>
    </row>
    <row r="96">
      <c r="A96" t="inlineStr">
        <is>
          <t>9455-4177 QI</t>
        </is>
      </c>
      <c r="B96" t="inlineStr">
        <is>
          <t>Administrative</t>
        </is>
      </c>
      <c r="C96" t="inlineStr">
        <is>
          <t>FY2023</t>
        </is>
      </c>
      <c r="D96" s="95" t="n">
        <v>5196</v>
      </c>
      <c r="E96" t="inlineStr">
        <is>
          <t>Investments</t>
        </is>
      </c>
    </row>
    <row r="97">
      <c r="A97" t="inlineStr">
        <is>
          <t>9455-4177 QI</t>
        </is>
      </c>
      <c r="B97" t="inlineStr">
        <is>
          <t>Interest &amp; Financing</t>
        </is>
      </c>
      <c r="C97" t="inlineStr">
        <is>
          <t>FY2023</t>
        </is>
      </c>
      <c r="D97" s="95" t="n">
        <v>53.55</v>
      </c>
      <c r="E97" t="inlineStr">
        <is>
          <t>Investments</t>
        </is>
      </c>
    </row>
    <row r="98">
      <c r="A98" t="inlineStr">
        <is>
          <t>9455-4201 QI</t>
        </is>
      </c>
      <c r="B98" t="inlineStr">
        <is>
          <t>Investment &amp; Other Income</t>
        </is>
      </c>
      <c r="C98" t="inlineStr">
        <is>
          <t>FY2025</t>
        </is>
      </c>
      <c r="D98" s="95" t="n">
        <v>-673859.71</v>
      </c>
      <c r="E98" t="inlineStr">
        <is>
          <t>Investments</t>
        </is>
      </c>
    </row>
    <row r="99">
      <c r="A99" t="inlineStr">
        <is>
          <t>9455-4201 QI</t>
        </is>
      </c>
      <c r="B99" t="inlineStr">
        <is>
          <t>Administrative</t>
        </is>
      </c>
      <c r="C99" t="inlineStr">
        <is>
          <t>FY2025</t>
        </is>
      </c>
      <c r="D99" s="95" t="n">
        <v>12508.63</v>
      </c>
      <c r="E99" t="inlineStr">
        <is>
          <t>Investments</t>
        </is>
      </c>
    </row>
    <row r="100">
      <c r="A100" t="inlineStr">
        <is>
          <t>9455-4201 QI</t>
        </is>
      </c>
      <c r="B100" t="inlineStr">
        <is>
          <t>Interest &amp; Financing</t>
        </is>
      </c>
      <c r="C100" t="inlineStr">
        <is>
          <t>FY2025</t>
        </is>
      </c>
      <c r="D100" s="95" t="n">
        <v>89815.85000000001</v>
      </c>
      <c r="E100" t="inlineStr">
        <is>
          <t>Investments</t>
        </is>
      </c>
    </row>
    <row r="101">
      <c r="A101" t="inlineStr">
        <is>
          <t>9455-4201 QI</t>
        </is>
      </c>
      <c r="B101" t="inlineStr">
        <is>
          <t>Investment &amp; Other Income</t>
        </is>
      </c>
      <c r="C101" t="inlineStr">
        <is>
          <t>FY2024</t>
        </is>
      </c>
      <c r="D101" s="95" t="n">
        <v>-1569420.99</v>
      </c>
      <c r="E101" t="inlineStr">
        <is>
          <t>Investments</t>
        </is>
      </c>
    </row>
    <row r="102">
      <c r="A102" t="inlineStr">
        <is>
          <t>9455-4201 QI</t>
        </is>
      </c>
      <c r="B102" t="inlineStr">
        <is>
          <t>Administrative</t>
        </is>
      </c>
      <c r="C102" t="inlineStr">
        <is>
          <t>FY2024</t>
        </is>
      </c>
      <c r="D102" s="95" t="n">
        <v>2956</v>
      </c>
      <c r="E102" t="inlineStr">
        <is>
          <t>Investments</t>
        </is>
      </c>
    </row>
    <row r="103">
      <c r="A103" t="inlineStr">
        <is>
          <t>9455-4201 QI</t>
        </is>
      </c>
      <c r="B103" t="inlineStr">
        <is>
          <t>Interest &amp; Financing</t>
        </is>
      </c>
      <c r="C103" t="inlineStr">
        <is>
          <t>FY2024</t>
        </is>
      </c>
      <c r="D103" s="95" t="n">
        <v>79366.3</v>
      </c>
      <c r="E103" t="inlineStr">
        <is>
          <t>Investments</t>
        </is>
      </c>
    </row>
    <row r="104">
      <c r="A104" t="inlineStr">
        <is>
          <t>9455-4201 QI</t>
        </is>
      </c>
      <c r="B104" t="inlineStr">
        <is>
          <t>Administrative</t>
        </is>
      </c>
      <c r="C104" t="inlineStr">
        <is>
          <t>FY2023</t>
        </is>
      </c>
      <c r="D104" s="95" t="n">
        <v>2823</v>
      </c>
      <c r="E104" t="inlineStr">
        <is>
          <t>Investments</t>
        </is>
      </c>
    </row>
    <row r="105">
      <c r="A105" t="inlineStr">
        <is>
          <t>9455-4201 QI</t>
        </is>
      </c>
      <c r="B105" t="inlineStr">
        <is>
          <t>Interest &amp; Financing</t>
        </is>
      </c>
      <c r="C105" t="inlineStr">
        <is>
          <t>FY2023</t>
        </is>
      </c>
      <c r="D105" s="95" t="n">
        <v>146.62</v>
      </c>
      <c r="E105" t="inlineStr">
        <is>
          <t>Investments</t>
        </is>
      </c>
    </row>
    <row r="106">
      <c r="A106" t="inlineStr">
        <is>
          <t>9108-6876 QI</t>
        </is>
      </c>
      <c r="B106" t="inlineStr">
        <is>
          <t>Other Operating</t>
        </is>
      </c>
      <c r="C106" t="inlineStr">
        <is>
          <t>FY2025</t>
        </is>
      </c>
      <c r="D106" s="95" t="n">
        <v>220492.18</v>
      </c>
      <c r="E106" t="inlineStr">
        <is>
          <t>Hotel</t>
        </is>
      </c>
    </row>
    <row r="107">
      <c r="A107" t="inlineStr">
        <is>
          <t>9108-6876 QI</t>
        </is>
      </c>
      <c r="B107" t="inlineStr">
        <is>
          <t>Payroll &amp; Benefits</t>
        </is>
      </c>
      <c r="C107" t="inlineStr">
        <is>
          <t>FY2025</t>
        </is>
      </c>
      <c r="D107" s="95" t="n">
        <v>621319.65</v>
      </c>
      <c r="E107" t="inlineStr">
        <is>
          <t>Hotel</t>
        </is>
      </c>
    </row>
    <row r="108">
      <c r="A108" t="inlineStr">
        <is>
          <t>9108-6876 QI</t>
        </is>
      </c>
      <c r="B108" t="inlineStr">
        <is>
          <t>COGS</t>
        </is>
      </c>
      <c r="C108" t="inlineStr">
        <is>
          <t>FY2025</t>
        </is>
      </c>
      <c r="D108" s="95" t="n">
        <v>253612.21</v>
      </c>
      <c r="E108" t="inlineStr">
        <is>
          <t>Hotel</t>
        </is>
      </c>
    </row>
    <row r="109">
      <c r="A109" t="inlineStr">
        <is>
          <t>9108-6876 QI</t>
        </is>
      </c>
      <c r="B109" t="inlineStr">
        <is>
          <t>Administrative</t>
        </is>
      </c>
      <c r="C109" t="inlineStr">
        <is>
          <t>FY2025</t>
        </is>
      </c>
      <c r="D109" s="95" t="n">
        <v>168226.05</v>
      </c>
      <c r="E109" t="inlineStr">
        <is>
          <t>Hotel</t>
        </is>
      </c>
    </row>
    <row r="110">
      <c r="A110" t="inlineStr">
        <is>
          <t>9108-6876 QI</t>
        </is>
      </c>
      <c r="B110" t="inlineStr">
        <is>
          <t>Interest &amp; Financing</t>
        </is>
      </c>
      <c r="C110" t="inlineStr">
        <is>
          <t>FY2025</t>
        </is>
      </c>
      <c r="D110" s="95" t="n">
        <v>92484.47</v>
      </c>
      <c r="E110" t="inlineStr">
        <is>
          <t>Hotel</t>
        </is>
      </c>
    </row>
    <row r="111">
      <c r="A111" t="inlineStr">
        <is>
          <t>9108-6876 QI</t>
        </is>
      </c>
      <c r="B111" t="inlineStr">
        <is>
          <t>Amortization</t>
        </is>
      </c>
      <c r="C111" t="inlineStr">
        <is>
          <t>FY2025</t>
        </is>
      </c>
      <c r="D111" s="95" t="n">
        <v>196184</v>
      </c>
      <c r="E111" t="inlineStr">
        <is>
          <t>Hotel</t>
        </is>
      </c>
    </row>
    <row r="112">
      <c r="A112" t="inlineStr">
        <is>
          <t>9108-6876 QI</t>
        </is>
      </c>
      <c r="B112" t="inlineStr">
        <is>
          <t>Operating Revenue</t>
        </is>
      </c>
      <c r="C112" t="inlineStr">
        <is>
          <t>FY2025</t>
        </is>
      </c>
      <c r="D112" s="95" t="n">
        <v>-1845734.44</v>
      </c>
      <c r="E112" t="inlineStr">
        <is>
          <t>Hotel</t>
        </is>
      </c>
    </row>
    <row r="113">
      <c r="A113" t="inlineStr">
        <is>
          <t>9108-6876 QI</t>
        </is>
      </c>
      <c r="B113" t="inlineStr">
        <is>
          <t>Investment &amp; Other Income</t>
        </is>
      </c>
      <c r="C113" t="inlineStr">
        <is>
          <t>FY2025</t>
        </is>
      </c>
      <c r="D113" s="95" t="n">
        <v>-773623.08</v>
      </c>
      <c r="E113" t="inlineStr">
        <is>
          <t>Hotel</t>
        </is>
      </c>
    </row>
    <row r="114">
      <c r="A114" t="inlineStr">
        <is>
          <t>9108-6876 QI</t>
        </is>
      </c>
      <c r="B114" t="inlineStr">
        <is>
          <t>Occupancy</t>
        </is>
      </c>
      <c r="C114" t="inlineStr">
        <is>
          <t>FY2025</t>
        </is>
      </c>
      <c r="D114" s="95" t="n">
        <v>293846.95</v>
      </c>
      <c r="E114" t="inlineStr">
        <is>
          <t>Hotel</t>
        </is>
      </c>
    </row>
    <row r="115">
      <c r="A115" t="inlineStr">
        <is>
          <t>9108-6876 QI</t>
        </is>
      </c>
      <c r="B115" t="inlineStr">
        <is>
          <t>Marketing &amp; Entertainment</t>
        </is>
      </c>
      <c r="C115" t="inlineStr">
        <is>
          <t>FY2025</t>
        </is>
      </c>
      <c r="D115" s="95" t="n">
        <v>265493.63</v>
      </c>
      <c r="E115" t="inlineStr">
        <is>
          <t>Hotel</t>
        </is>
      </c>
    </row>
    <row r="116">
      <c r="A116" t="inlineStr">
        <is>
          <t>9108-6876 QI</t>
        </is>
      </c>
      <c r="B116" t="inlineStr">
        <is>
          <t>Repairs &amp; Maintenance</t>
        </is>
      </c>
      <c r="C116" t="inlineStr">
        <is>
          <t>FY2025</t>
        </is>
      </c>
      <c r="D116" s="95" t="n">
        <v>191530.24</v>
      </c>
      <c r="E116" t="inlineStr">
        <is>
          <t>Hotel</t>
        </is>
      </c>
    </row>
    <row r="117">
      <c r="A117" t="inlineStr">
        <is>
          <t>9108-6876 QI</t>
        </is>
      </c>
      <c r="B117" t="inlineStr">
        <is>
          <t>Income Tax</t>
        </is>
      </c>
      <c r="C117" t="inlineStr">
        <is>
          <t>FY2025</t>
        </is>
      </c>
      <c r="D117" s="95" t="n">
        <v>11587</v>
      </c>
      <c r="E117" t="inlineStr">
        <is>
          <t>Hotel</t>
        </is>
      </c>
    </row>
    <row r="118">
      <c r="A118" t="inlineStr">
        <is>
          <t>9108-6876 QI</t>
        </is>
      </c>
      <c r="B118" t="inlineStr">
        <is>
          <t>Other Operating</t>
        </is>
      </c>
      <c r="C118" t="inlineStr">
        <is>
          <t>FY2024</t>
        </is>
      </c>
      <c r="D118" s="95" t="n">
        <v>93057.11</v>
      </c>
      <c r="E118" t="inlineStr">
        <is>
          <t>Hotel</t>
        </is>
      </c>
    </row>
    <row r="119">
      <c r="A119" t="inlineStr">
        <is>
          <t>9108-6876 QI</t>
        </is>
      </c>
      <c r="B119" t="inlineStr">
        <is>
          <t>Payroll &amp; Benefits</t>
        </is>
      </c>
      <c r="C119" t="inlineStr">
        <is>
          <t>FY2024</t>
        </is>
      </c>
      <c r="D119" s="95" t="n">
        <v>528052.08</v>
      </c>
      <c r="E119" t="inlineStr">
        <is>
          <t>Hotel</t>
        </is>
      </c>
    </row>
    <row r="120">
      <c r="A120" t="inlineStr">
        <is>
          <t>9108-6876 QI</t>
        </is>
      </c>
      <c r="B120" t="inlineStr">
        <is>
          <t>COGS</t>
        </is>
      </c>
      <c r="C120" t="inlineStr">
        <is>
          <t>FY2024</t>
        </is>
      </c>
      <c r="D120" s="95" t="n">
        <v>116416.16</v>
      </c>
      <c r="E120" t="inlineStr">
        <is>
          <t>Hotel</t>
        </is>
      </c>
    </row>
    <row r="121">
      <c r="A121" t="inlineStr">
        <is>
          <t>9108-6876 QI</t>
        </is>
      </c>
      <c r="B121" t="inlineStr">
        <is>
          <t>Administrative</t>
        </is>
      </c>
      <c r="C121" t="inlineStr">
        <is>
          <t>FY2024</t>
        </is>
      </c>
      <c r="D121" s="95" t="n">
        <v>146015.91</v>
      </c>
      <c r="E121" t="inlineStr">
        <is>
          <t>Hotel</t>
        </is>
      </c>
    </row>
    <row r="122">
      <c r="A122" t="inlineStr">
        <is>
          <t>9108-6876 QI</t>
        </is>
      </c>
      <c r="B122" t="inlineStr">
        <is>
          <t>Interest &amp; Financing</t>
        </is>
      </c>
      <c r="C122" t="inlineStr">
        <is>
          <t>FY2024</t>
        </is>
      </c>
      <c r="D122" s="95" t="n">
        <v>95218.77</v>
      </c>
      <c r="E122" t="inlineStr">
        <is>
          <t>Hotel</t>
        </is>
      </c>
    </row>
    <row r="123">
      <c r="A123" t="inlineStr">
        <is>
          <t>9108-6876 QI</t>
        </is>
      </c>
      <c r="B123" t="inlineStr">
        <is>
          <t>Amortization</t>
        </is>
      </c>
      <c r="C123" t="inlineStr">
        <is>
          <t>FY2024</t>
        </is>
      </c>
      <c r="D123" s="95" t="n">
        <v>195095</v>
      </c>
      <c r="E123" t="inlineStr">
        <is>
          <t>Hotel</t>
        </is>
      </c>
    </row>
    <row r="124">
      <c r="A124" t="inlineStr">
        <is>
          <t>9108-6876 QI</t>
        </is>
      </c>
      <c r="B124" t="inlineStr">
        <is>
          <t>Operating Revenue</t>
        </is>
      </c>
      <c r="C124" t="inlineStr">
        <is>
          <t>FY2024</t>
        </is>
      </c>
      <c r="D124" s="95" t="n">
        <v>-1846103.64</v>
      </c>
      <c r="E124" t="inlineStr">
        <is>
          <t>Hotel</t>
        </is>
      </c>
    </row>
    <row r="125">
      <c r="A125" t="inlineStr">
        <is>
          <t>9108-6876 QI</t>
        </is>
      </c>
      <c r="B125" t="inlineStr">
        <is>
          <t>Investment &amp; Other Income</t>
        </is>
      </c>
      <c r="C125" t="inlineStr">
        <is>
          <t>FY2024</t>
        </is>
      </c>
      <c r="D125" s="95" t="n">
        <v>-277628.05</v>
      </c>
      <c r="E125" t="inlineStr">
        <is>
          <t>Hotel</t>
        </is>
      </c>
    </row>
    <row r="126">
      <c r="A126" t="inlineStr">
        <is>
          <t>9108-6876 QI</t>
        </is>
      </c>
      <c r="B126" t="inlineStr">
        <is>
          <t>Management Fees (Interco)</t>
        </is>
      </c>
      <c r="C126" t="inlineStr">
        <is>
          <t>FY2024</t>
        </is>
      </c>
      <c r="D126" s="95" t="n">
        <v>398.98</v>
      </c>
      <c r="E126" t="inlineStr">
        <is>
          <t>Hotel</t>
        </is>
      </c>
    </row>
    <row r="127">
      <c r="A127" t="inlineStr">
        <is>
          <t>9108-6876 QI</t>
        </is>
      </c>
      <c r="B127" t="inlineStr">
        <is>
          <t>Occupancy</t>
        </is>
      </c>
      <c r="C127" t="inlineStr">
        <is>
          <t>FY2024</t>
        </is>
      </c>
      <c r="D127" s="95" t="n">
        <v>262708.89</v>
      </c>
      <c r="E127" t="inlineStr">
        <is>
          <t>Hotel</t>
        </is>
      </c>
    </row>
    <row r="128">
      <c r="A128" t="inlineStr">
        <is>
          <t>9108-6876 QI</t>
        </is>
      </c>
      <c r="B128" t="inlineStr">
        <is>
          <t>Marketing &amp; Entertainment</t>
        </is>
      </c>
      <c r="C128" t="inlineStr">
        <is>
          <t>FY2024</t>
        </is>
      </c>
      <c r="D128" s="95" t="n">
        <v>263448.71</v>
      </c>
      <c r="E128" t="inlineStr">
        <is>
          <t>Hotel</t>
        </is>
      </c>
    </row>
    <row r="129">
      <c r="A129" t="inlineStr">
        <is>
          <t>9108-6876 QI</t>
        </is>
      </c>
      <c r="B129" t="inlineStr">
        <is>
          <t>Repairs &amp; Maintenance</t>
        </is>
      </c>
      <c r="C129" t="inlineStr">
        <is>
          <t>FY2024</t>
        </is>
      </c>
      <c r="D129" s="95" t="n">
        <v>259227.76</v>
      </c>
      <c r="E129" t="inlineStr">
        <is>
          <t>Hotel</t>
        </is>
      </c>
    </row>
    <row r="130">
      <c r="A130" t="inlineStr">
        <is>
          <t>9108-6876 QI</t>
        </is>
      </c>
      <c r="B130" t="inlineStr">
        <is>
          <t>Payroll &amp; Benefits</t>
        </is>
      </c>
      <c r="C130" t="inlineStr">
        <is>
          <t>FY2023</t>
        </is>
      </c>
      <c r="D130" s="95" t="n">
        <v>406354.65</v>
      </c>
      <c r="E130" t="inlineStr">
        <is>
          <t>Hotel</t>
        </is>
      </c>
    </row>
    <row r="131">
      <c r="A131" t="inlineStr">
        <is>
          <t>9108-6876 QI</t>
        </is>
      </c>
      <c r="B131" t="inlineStr">
        <is>
          <t>COGS</t>
        </is>
      </c>
      <c r="C131" t="inlineStr">
        <is>
          <t>FY2023</t>
        </is>
      </c>
      <c r="D131" s="95" t="n">
        <v>77648.91</v>
      </c>
      <c r="E131" t="inlineStr">
        <is>
          <t>Hotel</t>
        </is>
      </c>
    </row>
    <row r="132">
      <c r="A132" t="inlineStr">
        <is>
          <t>9108-6876 QI</t>
        </is>
      </c>
      <c r="B132" t="inlineStr">
        <is>
          <t>Administrative</t>
        </is>
      </c>
      <c r="C132" t="inlineStr">
        <is>
          <t>FY2023</t>
        </is>
      </c>
      <c r="D132" s="95" t="n">
        <v>102761.37</v>
      </c>
      <c r="E132" t="inlineStr">
        <is>
          <t>Hotel</t>
        </is>
      </c>
    </row>
    <row r="133">
      <c r="A133" t="inlineStr">
        <is>
          <t>9108-6876 QI</t>
        </is>
      </c>
      <c r="B133" t="inlineStr">
        <is>
          <t>Interest &amp; Financing</t>
        </is>
      </c>
      <c r="C133" t="inlineStr">
        <is>
          <t>FY2023</t>
        </is>
      </c>
      <c r="D133" s="95" t="n">
        <v>78647.42999999999</v>
      </c>
      <c r="E133" t="inlineStr">
        <is>
          <t>Hotel</t>
        </is>
      </c>
    </row>
    <row r="134">
      <c r="A134" t="inlineStr">
        <is>
          <t>9108-6876 QI</t>
        </is>
      </c>
      <c r="B134" t="inlineStr">
        <is>
          <t>Amortization</t>
        </is>
      </c>
      <c r="C134" t="inlineStr">
        <is>
          <t>FY2023</t>
        </is>
      </c>
      <c r="D134" s="95" t="n">
        <v>144978</v>
      </c>
      <c r="E134" t="inlineStr">
        <is>
          <t>Hotel</t>
        </is>
      </c>
    </row>
    <row r="135">
      <c r="A135" t="inlineStr">
        <is>
          <t>9108-6876 QI</t>
        </is>
      </c>
      <c r="B135" t="inlineStr">
        <is>
          <t>Operating Revenue</t>
        </is>
      </c>
      <c r="C135" t="inlineStr">
        <is>
          <t>FY2023</t>
        </is>
      </c>
      <c r="D135" s="95" t="n">
        <v>-1787344.57</v>
      </c>
      <c r="E135" t="inlineStr">
        <is>
          <t>Hotel</t>
        </is>
      </c>
    </row>
    <row r="136">
      <c r="A136" t="inlineStr">
        <is>
          <t>9108-6876 QI</t>
        </is>
      </c>
      <c r="B136" t="inlineStr">
        <is>
          <t>Occupancy</t>
        </is>
      </c>
      <c r="C136" t="inlineStr">
        <is>
          <t>FY2023</t>
        </is>
      </c>
      <c r="D136" s="95" t="n">
        <v>246909.77</v>
      </c>
      <c r="E136" t="inlineStr">
        <is>
          <t>Hotel</t>
        </is>
      </c>
    </row>
    <row r="137">
      <c r="A137" t="inlineStr">
        <is>
          <t>9108-6876 QI</t>
        </is>
      </c>
      <c r="B137" t="inlineStr">
        <is>
          <t>Marketing &amp; Entertainment</t>
        </is>
      </c>
      <c r="C137" t="inlineStr">
        <is>
          <t>FY2023</t>
        </is>
      </c>
      <c r="D137" s="95" t="n">
        <v>199861.29</v>
      </c>
      <c r="E137" t="inlineStr">
        <is>
          <t>Hotel</t>
        </is>
      </c>
    </row>
    <row r="138">
      <c r="A138" t="inlineStr">
        <is>
          <t>9108-6876 QI</t>
        </is>
      </c>
      <c r="B138" t="inlineStr">
        <is>
          <t>Repairs &amp; Maintenance</t>
        </is>
      </c>
      <c r="C138" t="inlineStr">
        <is>
          <t>FY2023</t>
        </is>
      </c>
      <c r="D138" s="95" t="n">
        <v>338592.34</v>
      </c>
      <c r="E138" t="inlineStr">
        <is>
          <t>Hotel</t>
        </is>
      </c>
    </row>
    <row r="139">
      <c r="A139" t="inlineStr">
        <is>
          <t>N/A_BisGur</t>
        </is>
      </c>
      <c r="B139" t="inlineStr">
        <is>
          <t>Operating Revenue</t>
        </is>
      </c>
      <c r="C139" t="inlineStr">
        <is>
          <t>FY2025</t>
        </is>
      </c>
      <c r="D139" s="95" t="n">
        <v>-95567.31</v>
      </c>
      <c r="E139" t="inlineStr">
        <is>
          <t>Restaurant</t>
        </is>
      </c>
    </row>
    <row r="140">
      <c r="A140" t="inlineStr">
        <is>
          <t>N/A_BisGur</t>
        </is>
      </c>
      <c r="B140" t="inlineStr">
        <is>
          <t>Management Fees (Interco)</t>
        </is>
      </c>
      <c r="C140" t="inlineStr">
        <is>
          <t>FY2025</t>
        </is>
      </c>
      <c r="D140" s="95" t="n">
        <v>-4000</v>
      </c>
      <c r="E140" t="inlineStr">
        <is>
          <t>Restaurant</t>
        </is>
      </c>
    </row>
    <row r="141">
      <c r="A141" t="inlineStr">
        <is>
          <t>N/A_BisGur</t>
        </is>
      </c>
      <c r="B141" t="inlineStr">
        <is>
          <t>Payroll &amp; Benefits</t>
        </is>
      </c>
      <c r="C141" t="inlineStr">
        <is>
          <t>FY2025</t>
        </is>
      </c>
      <c r="D141" s="95" t="n">
        <v>49571.73</v>
      </c>
      <c r="E141" t="inlineStr">
        <is>
          <t>Restaurant</t>
        </is>
      </c>
    </row>
    <row r="142">
      <c r="A142" t="inlineStr">
        <is>
          <t>N/A_BisGur</t>
        </is>
      </c>
      <c r="B142" t="inlineStr">
        <is>
          <t>Administrative</t>
        </is>
      </c>
      <c r="C142" t="inlineStr">
        <is>
          <t>FY2025</t>
        </is>
      </c>
      <c r="D142" s="95" t="n">
        <v>9462.879999999999</v>
      </c>
      <c r="E142" t="inlineStr">
        <is>
          <t>Restaurant</t>
        </is>
      </c>
    </row>
    <row r="143">
      <c r="A143" t="inlineStr">
        <is>
          <t>N/A_BisGur</t>
        </is>
      </c>
      <c r="B143" t="inlineStr">
        <is>
          <t>Interest &amp; Financing</t>
        </is>
      </c>
      <c r="C143" t="inlineStr">
        <is>
          <t>FY2025</t>
        </is>
      </c>
      <c r="D143" s="95" t="n">
        <v>2968.54</v>
      </c>
      <c r="E143" t="inlineStr">
        <is>
          <t>Restaurant</t>
        </is>
      </c>
    </row>
    <row r="144">
      <c r="A144" t="inlineStr">
        <is>
          <t>N/A_BisGur</t>
        </is>
      </c>
      <c r="B144" t="inlineStr">
        <is>
          <t>Amortization</t>
        </is>
      </c>
      <c r="C144" t="inlineStr">
        <is>
          <t>FY2025</t>
        </is>
      </c>
      <c r="D144" s="95" t="n">
        <v>11858</v>
      </c>
      <c r="E144" t="inlineStr">
        <is>
          <t>Restaurant</t>
        </is>
      </c>
    </row>
    <row r="145">
      <c r="A145" t="inlineStr">
        <is>
          <t>N/A_BisGur</t>
        </is>
      </c>
      <c r="B145" t="inlineStr">
        <is>
          <t>COGS</t>
        </is>
      </c>
      <c r="C145" t="inlineStr">
        <is>
          <t>FY2025</t>
        </is>
      </c>
      <c r="D145" s="95" t="n">
        <v>26947.11</v>
      </c>
      <c r="E145" t="inlineStr">
        <is>
          <t>Restaurant</t>
        </is>
      </c>
    </row>
    <row r="146">
      <c r="A146" t="inlineStr">
        <is>
          <t>N/A_BisGur</t>
        </is>
      </c>
      <c r="B146" t="inlineStr">
        <is>
          <t>Occupancy</t>
        </is>
      </c>
      <c r="C146" t="inlineStr">
        <is>
          <t>FY2025</t>
        </is>
      </c>
      <c r="D146" s="95" t="n">
        <v>4362.05</v>
      </c>
      <c r="E146" t="inlineStr">
        <is>
          <t>Restaurant</t>
        </is>
      </c>
    </row>
    <row r="147">
      <c r="A147" t="inlineStr">
        <is>
          <t>N/A_BisGur</t>
        </is>
      </c>
      <c r="B147" t="inlineStr">
        <is>
          <t>Repairs &amp; Maintenance</t>
        </is>
      </c>
      <c r="C147" t="inlineStr">
        <is>
          <t>FY2025</t>
        </is>
      </c>
      <c r="D147" s="95" t="n">
        <v>9729.889999999999</v>
      </c>
      <c r="E147" t="inlineStr">
        <is>
          <t>Restaurant</t>
        </is>
      </c>
    </row>
    <row r="148">
      <c r="A148" t="inlineStr">
        <is>
          <t>N/A_BisGur</t>
        </is>
      </c>
      <c r="B148" t="inlineStr">
        <is>
          <t>Marketing &amp; Entertainment</t>
        </is>
      </c>
      <c r="C148" t="inlineStr">
        <is>
          <t>FY2025</t>
        </is>
      </c>
      <c r="D148" s="95" t="n">
        <v>14786</v>
      </c>
      <c r="E148" t="inlineStr">
        <is>
          <t>Restaurant</t>
        </is>
      </c>
    </row>
    <row r="149">
      <c r="A149" t="inlineStr">
        <is>
          <t>N/A_BisGur</t>
        </is>
      </c>
      <c r="B149" t="inlineStr">
        <is>
          <t>Management Fees (Interco)</t>
        </is>
      </c>
      <c r="C149" t="inlineStr">
        <is>
          <t>FY2024</t>
        </is>
      </c>
      <c r="D149" s="95" t="n">
        <v>-25000</v>
      </c>
      <c r="E149" t="inlineStr">
        <is>
          <t>Restaurant</t>
        </is>
      </c>
    </row>
    <row r="150">
      <c r="A150" t="inlineStr">
        <is>
          <t>N/A_BisGur</t>
        </is>
      </c>
      <c r="B150" t="inlineStr">
        <is>
          <t>Administrative</t>
        </is>
      </c>
      <c r="C150" t="inlineStr">
        <is>
          <t>FY2024</t>
        </is>
      </c>
      <c r="D150" s="95" t="n">
        <v>11691.11</v>
      </c>
      <c r="E150" t="inlineStr">
        <is>
          <t>Restaurant</t>
        </is>
      </c>
    </row>
    <row r="151">
      <c r="A151" t="inlineStr">
        <is>
          <t>N/A_BisGur</t>
        </is>
      </c>
      <c r="B151" t="inlineStr">
        <is>
          <t>Interest &amp; Financing</t>
        </is>
      </c>
      <c r="C151" t="inlineStr">
        <is>
          <t>FY2024</t>
        </is>
      </c>
      <c r="D151" s="95" t="n">
        <v>353.66</v>
      </c>
      <c r="E151" t="inlineStr">
        <is>
          <t>Restaurant</t>
        </is>
      </c>
    </row>
    <row r="152">
      <c r="A152" t="inlineStr">
        <is>
          <t>N/A_BisGur</t>
        </is>
      </c>
      <c r="B152" t="inlineStr">
        <is>
          <t>Occupancy</t>
        </is>
      </c>
      <c r="C152" t="inlineStr">
        <is>
          <t>FY2024</t>
        </is>
      </c>
      <c r="D152" s="95" t="n">
        <v>2978.98</v>
      </c>
      <c r="E152" t="inlineStr">
        <is>
          <t>Restaurant</t>
        </is>
      </c>
    </row>
    <row r="153">
      <c r="A153" t="inlineStr">
        <is>
          <t>N/A_BisGur</t>
        </is>
      </c>
      <c r="B153" t="inlineStr">
        <is>
          <t>Repairs &amp; Maintenance</t>
        </is>
      </c>
      <c r="C153" t="inlineStr">
        <is>
          <t>FY2024</t>
        </is>
      </c>
      <c r="D153" s="95" t="n">
        <v>1405.28</v>
      </c>
      <c r="E153" t="inlineStr">
        <is>
          <t>Restaurant</t>
        </is>
      </c>
    </row>
    <row r="154">
      <c r="A154" t="inlineStr">
        <is>
          <t>N/A_BisGur</t>
        </is>
      </c>
      <c r="B154" t="inlineStr">
        <is>
          <t>Marketing &amp; Entertainment</t>
        </is>
      </c>
      <c r="C154" t="inlineStr">
        <is>
          <t>FY2024</t>
        </is>
      </c>
      <c r="D154" s="95" t="n">
        <v>31.2</v>
      </c>
      <c r="E154" t="inlineStr">
        <is>
          <t>Restaurant</t>
        </is>
      </c>
    </row>
    <row r="155">
      <c r="A155" t="inlineStr">
        <is>
          <t>N/A_BisGur</t>
        </is>
      </c>
      <c r="B155" t="inlineStr">
        <is>
          <t>Management Fees (Interco)</t>
        </is>
      </c>
      <c r="C155" t="inlineStr">
        <is>
          <t>FY2023</t>
        </is>
      </c>
      <c r="D155" s="95" t="n">
        <v>-120000</v>
      </c>
      <c r="E155" t="inlineStr">
        <is>
          <t>Restaurant</t>
        </is>
      </c>
    </row>
    <row r="156">
      <c r="A156" t="inlineStr">
        <is>
          <t>N/A_BisGur</t>
        </is>
      </c>
      <c r="B156" t="inlineStr">
        <is>
          <t>Administrative</t>
        </is>
      </c>
      <c r="C156" t="inlineStr">
        <is>
          <t>FY2023</t>
        </is>
      </c>
      <c r="D156" s="95" t="n">
        <v>9970.26</v>
      </c>
      <c r="E156" t="inlineStr">
        <is>
          <t>Restaurant</t>
        </is>
      </c>
    </row>
    <row r="157">
      <c r="A157" t="inlineStr">
        <is>
          <t>N/A_BisGur</t>
        </is>
      </c>
      <c r="B157" t="inlineStr">
        <is>
          <t>Interest &amp; Financing</t>
        </is>
      </c>
      <c r="C157" t="inlineStr">
        <is>
          <t>FY2023</t>
        </is>
      </c>
      <c r="D157" s="95" t="n">
        <v>80.48999999999999</v>
      </c>
      <c r="E157" t="inlineStr">
        <is>
          <t>Restaurant</t>
        </is>
      </c>
    </row>
    <row r="158">
      <c r="A158" t="inlineStr">
        <is>
          <t>N/A_BisGur</t>
        </is>
      </c>
      <c r="B158" t="inlineStr">
        <is>
          <t>Occupancy</t>
        </is>
      </c>
      <c r="C158" t="inlineStr">
        <is>
          <t>FY2023</t>
        </is>
      </c>
      <c r="D158" s="95" t="n">
        <v>3536.61</v>
      </c>
      <c r="E158" t="inlineStr">
        <is>
          <t>Restaurant</t>
        </is>
      </c>
    </row>
    <row r="159">
      <c r="A159" t="inlineStr">
        <is>
          <t>N/A_BisGur</t>
        </is>
      </c>
      <c r="B159" t="inlineStr">
        <is>
          <t>Repairs &amp; Maintenance</t>
        </is>
      </c>
      <c r="C159" t="inlineStr">
        <is>
          <t>FY2023</t>
        </is>
      </c>
      <c r="D159" s="95" t="n">
        <v>659.65</v>
      </c>
      <c r="E159" t="inlineStr">
        <is>
          <t>Restaurant</t>
        </is>
      </c>
    </row>
    <row r="160">
      <c r="A160" t="inlineStr">
        <is>
          <t>N/A_BisGur</t>
        </is>
      </c>
      <c r="B160" t="inlineStr">
        <is>
          <t>Marketing &amp; Entertainment</t>
        </is>
      </c>
      <c r="C160" t="inlineStr">
        <is>
          <t>FY2023</t>
        </is>
      </c>
      <c r="D160" s="95" t="n">
        <v>93.59999999999999</v>
      </c>
      <c r="E160" t="inlineStr">
        <is>
          <t>Restaurant</t>
        </is>
      </c>
    </row>
    <row r="161">
      <c r="A161" t="inlineStr">
        <is>
          <t>9096-0436 QI</t>
        </is>
      </c>
      <c r="B161" t="inlineStr">
        <is>
          <t>Operating Revenue</t>
        </is>
      </c>
      <c r="C161" t="inlineStr">
        <is>
          <t>FY2025</t>
        </is>
      </c>
      <c r="D161" s="95" t="n">
        <v>-182159.16</v>
      </c>
      <c r="E161" t="inlineStr">
        <is>
          <t>Restaurant</t>
        </is>
      </c>
    </row>
    <row r="162">
      <c r="A162" t="inlineStr">
        <is>
          <t>9096-0436 QI</t>
        </is>
      </c>
      <c r="B162" t="inlineStr">
        <is>
          <t>Other Operating</t>
        </is>
      </c>
      <c r="C162" t="inlineStr">
        <is>
          <t>FY2025</t>
        </is>
      </c>
      <c r="D162" s="95" t="n">
        <v>27832.1</v>
      </c>
      <c r="E162" t="inlineStr">
        <is>
          <t>Restaurant</t>
        </is>
      </c>
    </row>
    <row r="163">
      <c r="A163" t="inlineStr">
        <is>
          <t>9096-0436 QI</t>
        </is>
      </c>
      <c r="B163" t="inlineStr">
        <is>
          <t>Payroll &amp; Benefits</t>
        </is>
      </c>
      <c r="C163" t="inlineStr">
        <is>
          <t>FY2025</t>
        </is>
      </c>
      <c r="D163" s="95" t="n">
        <v>69042.92999999999</v>
      </c>
      <c r="E163" t="inlineStr">
        <is>
          <t>Restaurant</t>
        </is>
      </c>
    </row>
    <row r="164">
      <c r="A164" t="inlineStr">
        <is>
          <t>9096-0436 QI</t>
        </is>
      </c>
      <c r="B164" t="inlineStr">
        <is>
          <t>Management Fees (Interco)</t>
        </is>
      </c>
      <c r="C164" t="inlineStr">
        <is>
          <t>FY2025</t>
        </is>
      </c>
      <c r="D164" s="95" t="n">
        <v>-63372</v>
      </c>
      <c r="E164" t="inlineStr">
        <is>
          <t>Restaurant</t>
        </is>
      </c>
    </row>
    <row r="165">
      <c r="A165" t="inlineStr">
        <is>
          <t>9096-0436 QI</t>
        </is>
      </c>
      <c r="B165" t="inlineStr">
        <is>
          <t>COGS</t>
        </is>
      </c>
      <c r="C165" t="inlineStr">
        <is>
          <t>FY2025</t>
        </is>
      </c>
      <c r="D165" s="95" t="n">
        <v>21629.4</v>
      </c>
      <c r="E165" t="inlineStr">
        <is>
          <t>Restaurant</t>
        </is>
      </c>
    </row>
    <row r="166">
      <c r="A166" t="inlineStr">
        <is>
          <t>9096-0436 QI</t>
        </is>
      </c>
      <c r="B166" t="inlineStr">
        <is>
          <t>Repairs &amp; Maintenance</t>
        </is>
      </c>
      <c r="C166" t="inlineStr">
        <is>
          <t>FY2025</t>
        </is>
      </c>
      <c r="D166" s="95" t="n">
        <v>3911.77</v>
      </c>
      <c r="E166" t="inlineStr">
        <is>
          <t>Restaurant</t>
        </is>
      </c>
    </row>
    <row r="167">
      <c r="A167" t="inlineStr">
        <is>
          <t>9096-0436 QI</t>
        </is>
      </c>
      <c r="B167" t="inlineStr">
        <is>
          <t>Occupancy</t>
        </is>
      </c>
      <c r="C167" t="inlineStr">
        <is>
          <t>FY2025</t>
        </is>
      </c>
      <c r="D167" s="95" t="n">
        <v>84249.49000000001</v>
      </c>
      <c r="E167" t="inlineStr">
        <is>
          <t>Restaurant</t>
        </is>
      </c>
    </row>
    <row r="168">
      <c r="A168" t="inlineStr">
        <is>
          <t>9096-0436 QI</t>
        </is>
      </c>
      <c r="B168" t="inlineStr">
        <is>
          <t>Administrative</t>
        </is>
      </c>
      <c r="C168" t="inlineStr">
        <is>
          <t>FY2025</t>
        </is>
      </c>
      <c r="D168" s="95" t="n">
        <v>31662.59</v>
      </c>
      <c r="E168" t="inlineStr">
        <is>
          <t>Restaurant</t>
        </is>
      </c>
    </row>
    <row r="169">
      <c r="A169" t="inlineStr">
        <is>
          <t>9096-0436 QI</t>
        </is>
      </c>
      <c r="B169" t="inlineStr">
        <is>
          <t>Marketing &amp; Entertainment</t>
        </is>
      </c>
      <c r="C169" t="inlineStr">
        <is>
          <t>FY2025</t>
        </is>
      </c>
      <c r="D169" s="95" t="n">
        <v>3035.5</v>
      </c>
      <c r="E169" t="inlineStr">
        <is>
          <t>Restaurant</t>
        </is>
      </c>
    </row>
    <row r="170">
      <c r="A170" t="inlineStr">
        <is>
          <t>9096-0436 QI</t>
        </is>
      </c>
      <c r="B170" t="inlineStr">
        <is>
          <t>Amortization</t>
        </is>
      </c>
      <c r="C170" t="inlineStr">
        <is>
          <t>FY2025</t>
        </is>
      </c>
      <c r="D170" s="95" t="n">
        <v>16179</v>
      </c>
      <c r="E170" t="inlineStr">
        <is>
          <t>Restaurant</t>
        </is>
      </c>
    </row>
    <row r="171">
      <c r="A171" t="inlineStr">
        <is>
          <t>9096-0436 QI</t>
        </is>
      </c>
      <c r="B171" t="inlineStr">
        <is>
          <t>Interest &amp; Financing</t>
        </is>
      </c>
      <c r="C171" t="inlineStr">
        <is>
          <t>FY2025</t>
        </is>
      </c>
      <c r="D171" s="95" t="n">
        <v>7029.13</v>
      </c>
      <c r="E171" t="inlineStr">
        <is>
          <t>Restaurant</t>
        </is>
      </c>
    </row>
    <row r="172">
      <c r="A172" t="inlineStr">
        <is>
          <t>9096-0436 QI</t>
        </is>
      </c>
      <c r="B172" t="inlineStr">
        <is>
          <t>Operating Revenue</t>
        </is>
      </c>
      <c r="C172" t="inlineStr">
        <is>
          <t>FY2024</t>
        </is>
      </c>
      <c r="D172" s="95" t="n">
        <v>-252814.41</v>
      </c>
      <c r="E172" t="inlineStr">
        <is>
          <t>Restaurant</t>
        </is>
      </c>
    </row>
    <row r="173">
      <c r="A173" t="inlineStr">
        <is>
          <t>9096-0436 QI</t>
        </is>
      </c>
      <c r="B173" t="inlineStr">
        <is>
          <t>Other Operating</t>
        </is>
      </c>
      <c r="C173" t="inlineStr">
        <is>
          <t>FY2024</t>
        </is>
      </c>
      <c r="D173" s="95" t="n">
        <v>25803.7</v>
      </c>
      <c r="E173" t="inlineStr">
        <is>
          <t>Restaurant</t>
        </is>
      </c>
    </row>
    <row r="174">
      <c r="A174" t="inlineStr">
        <is>
          <t>9096-0436 QI</t>
        </is>
      </c>
      <c r="B174" t="inlineStr">
        <is>
          <t>Payroll &amp; Benefits</t>
        </is>
      </c>
      <c r="C174" t="inlineStr">
        <is>
          <t>FY2024</t>
        </is>
      </c>
      <c r="D174" s="95" t="n">
        <v>94213.14999999999</v>
      </c>
      <c r="E174" t="inlineStr">
        <is>
          <t>Restaurant</t>
        </is>
      </c>
    </row>
    <row r="175">
      <c r="A175" t="inlineStr">
        <is>
          <t>9096-0436 QI</t>
        </is>
      </c>
      <c r="B175" t="inlineStr">
        <is>
          <t>Management Fees (Interco)</t>
        </is>
      </c>
      <c r="C175" t="inlineStr">
        <is>
          <t>FY2024</t>
        </is>
      </c>
      <c r="D175" s="95" t="n">
        <v>-105000</v>
      </c>
      <c r="E175" t="inlineStr">
        <is>
          <t>Restaurant</t>
        </is>
      </c>
    </row>
    <row r="176">
      <c r="A176" t="inlineStr">
        <is>
          <t>9096-0436 QI</t>
        </is>
      </c>
      <c r="B176" t="inlineStr">
        <is>
          <t>COGS</t>
        </is>
      </c>
      <c r="C176" t="inlineStr">
        <is>
          <t>FY2024</t>
        </is>
      </c>
      <c r="D176" s="95" t="n">
        <v>42360.83</v>
      </c>
      <c r="E176" t="inlineStr">
        <is>
          <t>Restaurant</t>
        </is>
      </c>
    </row>
    <row r="177">
      <c r="A177" t="inlineStr">
        <is>
          <t>9096-0436 QI</t>
        </is>
      </c>
      <c r="B177" t="inlineStr">
        <is>
          <t>Repairs &amp; Maintenance</t>
        </is>
      </c>
      <c r="C177" t="inlineStr">
        <is>
          <t>FY2024</t>
        </is>
      </c>
      <c r="D177" s="95" t="n">
        <v>15237.12</v>
      </c>
      <c r="E177" t="inlineStr">
        <is>
          <t>Restaurant</t>
        </is>
      </c>
    </row>
    <row r="178">
      <c r="A178" t="inlineStr">
        <is>
          <t>9096-0436 QI</t>
        </is>
      </c>
      <c r="B178" t="inlineStr">
        <is>
          <t>Occupancy</t>
        </is>
      </c>
      <c r="C178" t="inlineStr">
        <is>
          <t>FY2024</t>
        </is>
      </c>
      <c r="D178" s="95" t="n">
        <v>84280.23</v>
      </c>
      <c r="E178" t="inlineStr">
        <is>
          <t>Restaurant</t>
        </is>
      </c>
    </row>
    <row r="179">
      <c r="A179" t="inlineStr">
        <is>
          <t>9096-0436 QI</t>
        </is>
      </c>
      <c r="B179" t="inlineStr">
        <is>
          <t>Administrative</t>
        </is>
      </c>
      <c r="C179" t="inlineStr">
        <is>
          <t>FY2024</t>
        </is>
      </c>
      <c r="D179" s="95" t="n">
        <v>39485.9</v>
      </c>
      <c r="E179" t="inlineStr">
        <is>
          <t>Restaurant</t>
        </is>
      </c>
    </row>
    <row r="180">
      <c r="A180" t="inlineStr">
        <is>
          <t>9096-0436 QI</t>
        </is>
      </c>
      <c r="B180" t="inlineStr">
        <is>
          <t>Marketing &amp; Entertainment</t>
        </is>
      </c>
      <c r="C180" t="inlineStr">
        <is>
          <t>FY2024</t>
        </is>
      </c>
      <c r="D180" s="95" t="n">
        <v>30521.91</v>
      </c>
      <c r="E180" t="inlineStr">
        <is>
          <t>Restaurant</t>
        </is>
      </c>
    </row>
    <row r="181">
      <c r="A181" t="inlineStr">
        <is>
          <t>9096-0436 QI</t>
        </is>
      </c>
      <c r="B181" t="inlineStr">
        <is>
          <t>Amortization</t>
        </is>
      </c>
      <c r="C181" t="inlineStr">
        <is>
          <t>FY2024</t>
        </is>
      </c>
      <c r="D181" s="95" t="n">
        <v>7464</v>
      </c>
      <c r="E181" t="inlineStr">
        <is>
          <t>Restaurant</t>
        </is>
      </c>
    </row>
    <row r="182">
      <c r="A182" t="inlineStr">
        <is>
          <t>9096-0436 QI</t>
        </is>
      </c>
      <c r="B182" t="inlineStr">
        <is>
          <t>Interest &amp; Financing</t>
        </is>
      </c>
      <c r="C182" t="inlineStr">
        <is>
          <t>FY2024</t>
        </is>
      </c>
      <c r="D182" s="95" t="n">
        <v>7661.21</v>
      </c>
      <c r="E182" t="inlineStr">
        <is>
          <t>Restaurant</t>
        </is>
      </c>
    </row>
    <row r="183">
      <c r="A183" t="inlineStr">
        <is>
          <t>9096-0436 QI</t>
        </is>
      </c>
      <c r="B183" t="inlineStr">
        <is>
          <t>Income Tax</t>
        </is>
      </c>
      <c r="C183" t="inlineStr">
        <is>
          <t>FY2024</t>
        </is>
      </c>
      <c r="D183" s="95" t="n">
        <v>1145</v>
      </c>
      <c r="E183" t="inlineStr">
        <is>
          <t>Restaurant</t>
        </is>
      </c>
    </row>
    <row r="184">
      <c r="A184" t="inlineStr">
        <is>
          <t>9096-0436 QI</t>
        </is>
      </c>
      <c r="B184" t="inlineStr">
        <is>
          <t>Operating Revenue</t>
        </is>
      </c>
      <c r="C184" t="inlineStr">
        <is>
          <t>FY2023</t>
        </is>
      </c>
      <c r="D184" s="95" t="n">
        <v>-1040169.25</v>
      </c>
      <c r="E184" t="inlineStr">
        <is>
          <t>Restaurant</t>
        </is>
      </c>
    </row>
    <row r="185">
      <c r="A185" t="inlineStr">
        <is>
          <t>9096-0436 QI</t>
        </is>
      </c>
      <c r="B185" t="inlineStr">
        <is>
          <t>Other Operating</t>
        </is>
      </c>
      <c r="C185" t="inlineStr">
        <is>
          <t>FY2023</t>
        </is>
      </c>
      <c r="D185" s="95" t="n">
        <v>24267.6</v>
      </c>
      <c r="E185" t="inlineStr">
        <is>
          <t>Restaurant</t>
        </is>
      </c>
    </row>
    <row r="186">
      <c r="A186" t="inlineStr">
        <is>
          <t>9096-0436 QI</t>
        </is>
      </c>
      <c r="B186" t="inlineStr">
        <is>
          <t>Payroll &amp; Benefits</t>
        </is>
      </c>
      <c r="C186" t="inlineStr">
        <is>
          <t>FY2023</t>
        </is>
      </c>
      <c r="D186" s="95" t="n">
        <v>335260.06</v>
      </c>
      <c r="E186" t="inlineStr">
        <is>
          <t>Restaurant</t>
        </is>
      </c>
    </row>
    <row r="187">
      <c r="A187" t="inlineStr">
        <is>
          <t>9096-0436 QI</t>
        </is>
      </c>
      <c r="B187" t="inlineStr">
        <is>
          <t>Management Fees (Interco)</t>
        </is>
      </c>
      <c r="C187" t="inlineStr">
        <is>
          <t>FY2023</t>
        </is>
      </c>
      <c r="D187" s="95" t="n">
        <v>12000</v>
      </c>
      <c r="E187" t="inlineStr">
        <is>
          <t>Restaurant</t>
        </is>
      </c>
    </row>
    <row r="188">
      <c r="A188" t="inlineStr">
        <is>
          <t>9096-0436 QI</t>
        </is>
      </c>
      <c r="B188" t="inlineStr">
        <is>
          <t>COGS</t>
        </is>
      </c>
      <c r="C188" t="inlineStr">
        <is>
          <t>FY2023</t>
        </is>
      </c>
      <c r="D188" s="95" t="n">
        <v>306127.7</v>
      </c>
      <c r="E188" t="inlineStr">
        <is>
          <t>Restaurant</t>
        </is>
      </c>
    </row>
    <row r="189">
      <c r="A189" t="inlineStr">
        <is>
          <t>9096-0436 QI</t>
        </is>
      </c>
      <c r="B189" t="inlineStr">
        <is>
          <t>Repairs &amp; Maintenance</t>
        </is>
      </c>
      <c r="C189" t="inlineStr">
        <is>
          <t>FY2023</t>
        </is>
      </c>
      <c r="D189" s="95" t="n">
        <v>28545.56</v>
      </c>
      <c r="E189" t="inlineStr">
        <is>
          <t>Restaurant</t>
        </is>
      </c>
    </row>
    <row r="190">
      <c r="A190" t="inlineStr">
        <is>
          <t>9096-0436 QI</t>
        </is>
      </c>
      <c r="B190" t="inlineStr">
        <is>
          <t>Occupancy</t>
        </is>
      </c>
      <c r="C190" t="inlineStr">
        <is>
          <t>FY2023</t>
        </is>
      </c>
      <c r="D190" s="95" t="n">
        <v>84158.63</v>
      </c>
      <c r="E190" t="inlineStr">
        <is>
          <t>Restaurant</t>
        </is>
      </c>
    </row>
    <row r="191">
      <c r="A191" t="inlineStr">
        <is>
          <t>9096-0436 QI</t>
        </is>
      </c>
      <c r="B191" t="inlineStr">
        <is>
          <t>Administrative</t>
        </is>
      </c>
      <c r="C191" t="inlineStr">
        <is>
          <t>FY2023</t>
        </is>
      </c>
      <c r="D191" s="95" t="n">
        <v>40897.33</v>
      </c>
      <c r="E191" t="inlineStr">
        <is>
          <t>Restaurant</t>
        </is>
      </c>
    </row>
    <row r="192">
      <c r="A192" t="inlineStr">
        <is>
          <t>9096-0436 QI</t>
        </is>
      </c>
      <c r="B192" t="inlineStr">
        <is>
          <t>Marketing &amp; Entertainment</t>
        </is>
      </c>
      <c r="C192" t="inlineStr">
        <is>
          <t>FY2023</t>
        </is>
      </c>
      <c r="D192" s="95" t="n">
        <v>155731.54</v>
      </c>
      <c r="E192" t="inlineStr">
        <is>
          <t>Restaurant</t>
        </is>
      </c>
    </row>
    <row r="193">
      <c r="A193" t="inlineStr">
        <is>
          <t>9096-0436 QI</t>
        </is>
      </c>
      <c r="B193" t="inlineStr">
        <is>
          <t>Amortization</t>
        </is>
      </c>
      <c r="C193" t="inlineStr">
        <is>
          <t>FY2023</t>
        </is>
      </c>
      <c r="D193" s="95" t="n">
        <v>6720</v>
      </c>
      <c r="E193" t="inlineStr">
        <is>
          <t>Restaurant</t>
        </is>
      </c>
    </row>
    <row r="194">
      <c r="A194" t="inlineStr">
        <is>
          <t>9096-0436 QI</t>
        </is>
      </c>
      <c r="B194" t="inlineStr">
        <is>
          <t>Interest &amp; Financing</t>
        </is>
      </c>
      <c r="C194" t="inlineStr">
        <is>
          <t>FY2023</t>
        </is>
      </c>
      <c r="D194" s="95" t="n">
        <v>11168.8</v>
      </c>
      <c r="E194" t="inlineStr">
        <is>
          <t>Restaurant</t>
        </is>
      </c>
    </row>
    <row r="195">
      <c r="A195" t="inlineStr">
        <is>
          <t>9096-0436 QI</t>
        </is>
      </c>
      <c r="B195" t="inlineStr">
        <is>
          <t>Income Tax</t>
        </is>
      </c>
      <c r="C195" t="inlineStr">
        <is>
          <t>FY2023</t>
        </is>
      </c>
      <c r="D195" s="95" t="n">
        <v>4347</v>
      </c>
      <c r="E195" t="inlineStr">
        <is>
          <t>Restaurant</t>
        </is>
      </c>
    </row>
    <row r="196">
      <c r="A196" t="inlineStr">
        <is>
          <t>9504-7510 QI</t>
        </is>
      </c>
      <c r="B196" t="inlineStr">
        <is>
          <t>Management Fees (Interco)</t>
        </is>
      </c>
      <c r="C196" t="inlineStr">
        <is>
          <t>FY2025</t>
        </is>
      </c>
      <c r="D196" s="95" t="n">
        <v>-36500</v>
      </c>
      <c r="E196" t="inlineStr">
        <is>
          <t>Restaurant</t>
        </is>
      </c>
    </row>
    <row r="197">
      <c r="A197" t="inlineStr">
        <is>
          <t>9504-7510 QI</t>
        </is>
      </c>
      <c r="B197" t="inlineStr">
        <is>
          <t>Payroll &amp; Benefits</t>
        </is>
      </c>
      <c r="C197" t="inlineStr">
        <is>
          <t>FY2025</t>
        </is>
      </c>
      <c r="D197" s="95" t="n">
        <v>682935.3</v>
      </c>
      <c r="E197" t="inlineStr">
        <is>
          <t>Restaurant</t>
        </is>
      </c>
    </row>
    <row r="198">
      <c r="A198" t="inlineStr">
        <is>
          <t>9504-7510 QI</t>
        </is>
      </c>
      <c r="B198" t="inlineStr">
        <is>
          <t>Amortization</t>
        </is>
      </c>
      <c r="C198" t="inlineStr">
        <is>
          <t>FY2025</t>
        </is>
      </c>
      <c r="D198" s="95" t="n">
        <v>89528.25</v>
      </c>
      <c r="E198" t="inlineStr">
        <is>
          <t>Restaurant</t>
        </is>
      </c>
    </row>
    <row r="199">
      <c r="A199" t="inlineStr">
        <is>
          <t>9504-7510 QI</t>
        </is>
      </c>
      <c r="B199" t="inlineStr">
        <is>
          <t>Interest &amp; Financing</t>
        </is>
      </c>
      <c r="C199" t="inlineStr">
        <is>
          <t>FY2025</t>
        </is>
      </c>
      <c r="D199" s="95" t="n">
        <v>34311.46</v>
      </c>
      <c r="E199" t="inlineStr">
        <is>
          <t>Restaurant</t>
        </is>
      </c>
    </row>
    <row r="200">
      <c r="A200" t="inlineStr">
        <is>
          <t>9504-7510 QI</t>
        </is>
      </c>
      <c r="B200" t="inlineStr">
        <is>
          <t>Operating Revenue</t>
        </is>
      </c>
      <c r="C200" t="inlineStr">
        <is>
          <t>FY2025</t>
        </is>
      </c>
      <c r="D200" s="95" t="n">
        <v>-1276087.3</v>
      </c>
      <c r="E200" t="inlineStr">
        <is>
          <t>Restaurant</t>
        </is>
      </c>
    </row>
    <row r="201">
      <c r="A201" t="inlineStr">
        <is>
          <t>9504-7510 QI</t>
        </is>
      </c>
      <c r="B201" t="inlineStr">
        <is>
          <t>Administrative</t>
        </is>
      </c>
      <c r="C201" t="inlineStr">
        <is>
          <t>FY2025</t>
        </is>
      </c>
      <c r="D201" s="95" t="n">
        <v>119684.05</v>
      </c>
      <c r="E201" t="inlineStr">
        <is>
          <t>Restaurant</t>
        </is>
      </c>
    </row>
    <row r="202">
      <c r="A202" t="inlineStr">
        <is>
          <t>9504-7510 QI</t>
        </is>
      </c>
      <c r="B202" t="inlineStr">
        <is>
          <t>COGS</t>
        </is>
      </c>
      <c r="C202" t="inlineStr">
        <is>
          <t>FY2025</t>
        </is>
      </c>
      <c r="D202" s="95" t="n">
        <v>461523.69</v>
      </c>
      <c r="E202" t="inlineStr">
        <is>
          <t>Restaurant</t>
        </is>
      </c>
    </row>
    <row r="203">
      <c r="A203" t="inlineStr">
        <is>
          <t>9504-7510 QI</t>
        </is>
      </c>
      <c r="B203" t="inlineStr">
        <is>
          <t>Occupancy</t>
        </is>
      </c>
      <c r="C203" t="inlineStr">
        <is>
          <t>FY2025</t>
        </is>
      </c>
      <c r="D203" s="95" t="n">
        <v>70350.57000000001</v>
      </c>
      <c r="E203" t="inlineStr">
        <is>
          <t>Restaurant</t>
        </is>
      </c>
    </row>
    <row r="204">
      <c r="A204" t="inlineStr">
        <is>
          <t>9504-7510 QI</t>
        </is>
      </c>
      <c r="B204" t="inlineStr">
        <is>
          <t>Repairs &amp; Maintenance</t>
        </is>
      </c>
      <c r="C204" t="inlineStr">
        <is>
          <t>FY2025</t>
        </is>
      </c>
      <c r="D204" s="95" t="n">
        <v>85236.12</v>
      </c>
      <c r="E204" t="inlineStr">
        <is>
          <t>Restaurant</t>
        </is>
      </c>
    </row>
    <row r="205">
      <c r="A205" t="inlineStr">
        <is>
          <t>9504-7510 QI</t>
        </is>
      </c>
      <c r="B205" t="inlineStr">
        <is>
          <t>Other Operating</t>
        </is>
      </c>
      <c r="C205" t="inlineStr">
        <is>
          <t>FY2025</t>
        </is>
      </c>
      <c r="D205" s="95" t="n">
        <v>25179.13</v>
      </c>
      <c r="E205" t="inlineStr">
        <is>
          <t>Restaurant</t>
        </is>
      </c>
    </row>
    <row r="206">
      <c r="A206" t="inlineStr">
        <is>
          <t>9504-7510 QI</t>
        </is>
      </c>
      <c r="B206" t="inlineStr">
        <is>
          <t>Marketing &amp; Entertainment</t>
        </is>
      </c>
      <c r="C206" t="inlineStr">
        <is>
          <t>FY2025</t>
        </is>
      </c>
      <c r="D206" s="95" t="n">
        <v>74422.25999999999</v>
      </c>
      <c r="E206" t="inlineStr">
        <is>
          <t>Restaurant</t>
        </is>
      </c>
    </row>
    <row r="207">
      <c r="A207" t="inlineStr">
        <is>
          <t>9504-7510 QI</t>
        </is>
      </c>
      <c r="B207" t="inlineStr">
        <is>
          <t>Interest &amp; Financing</t>
        </is>
      </c>
      <c r="C207" t="inlineStr">
        <is>
          <t>FY2024</t>
        </is>
      </c>
      <c r="D207" s="95" t="n">
        <v>47.32</v>
      </c>
      <c r="E207" t="inlineStr">
        <is>
          <t>Restaurant</t>
        </is>
      </c>
    </row>
    <row r="208">
      <c r="A208" t="inlineStr">
        <is>
          <t>9504-7510 QI</t>
        </is>
      </c>
      <c r="B208" t="inlineStr">
        <is>
          <t>Administrative</t>
        </is>
      </c>
      <c r="C208" t="inlineStr">
        <is>
          <t>FY2024</t>
        </is>
      </c>
      <c r="D208" s="95" t="n">
        <v>6971.72</v>
      </c>
      <c r="E208" t="inlineStr">
        <is>
          <t>Restaurant</t>
        </is>
      </c>
    </row>
    <row r="209">
      <c r="A209" t="inlineStr">
        <is>
          <t>9504-7510 QI</t>
        </is>
      </c>
      <c r="B209" t="inlineStr">
        <is>
          <t>Occupancy</t>
        </is>
      </c>
      <c r="C209" t="inlineStr">
        <is>
          <t>FY2024</t>
        </is>
      </c>
      <c r="D209" s="95" t="n">
        <v>1030.5</v>
      </c>
      <c r="E209" t="inlineStr">
        <is>
          <t>Restaurant</t>
        </is>
      </c>
    </row>
    <row r="210">
      <c r="A210" t="inlineStr">
        <is>
          <t>9525-2854 QI</t>
        </is>
      </c>
      <c r="B210" t="inlineStr">
        <is>
          <t>Operating Revenue</t>
        </is>
      </c>
      <c r="C210" t="inlineStr">
        <is>
          <t>FY2025</t>
        </is>
      </c>
      <c r="D210" s="95" t="n">
        <v>-60617.22</v>
      </c>
      <c r="E210" t="inlineStr">
        <is>
          <t>Restaurant</t>
        </is>
      </c>
    </row>
    <row r="211">
      <c r="A211" t="inlineStr">
        <is>
          <t>9525-2854 QI</t>
        </is>
      </c>
      <c r="B211" t="inlineStr">
        <is>
          <t>Administrative</t>
        </is>
      </c>
      <c r="C211" t="inlineStr">
        <is>
          <t>FY2025</t>
        </is>
      </c>
      <c r="D211" s="95" t="n">
        <v>7827.94</v>
      </c>
      <c r="E211" t="inlineStr">
        <is>
          <t>Restaurant</t>
        </is>
      </c>
    </row>
    <row r="212">
      <c r="A212" t="inlineStr">
        <is>
          <t>9525-2854 QI</t>
        </is>
      </c>
      <c r="B212" t="inlineStr">
        <is>
          <t>COGS</t>
        </is>
      </c>
      <c r="C212" t="inlineStr">
        <is>
          <t>FY2025</t>
        </is>
      </c>
      <c r="D212" s="95" t="n">
        <v>28798.6</v>
      </c>
      <c r="E212" t="inlineStr">
        <is>
          <t>Restaurant</t>
        </is>
      </c>
    </row>
    <row r="213">
      <c r="A213" t="inlineStr">
        <is>
          <t>9525-2854 QI</t>
        </is>
      </c>
      <c r="B213" t="inlineStr">
        <is>
          <t>Interest &amp; Financing</t>
        </is>
      </c>
      <c r="C213" t="inlineStr">
        <is>
          <t>FY2025</t>
        </is>
      </c>
      <c r="D213" s="95" t="n">
        <v>160</v>
      </c>
      <c r="E213" t="inlineStr">
        <is>
          <t>Restaurant</t>
        </is>
      </c>
    </row>
    <row r="214">
      <c r="A214" t="inlineStr">
        <is>
          <t>9525-2854 QI</t>
        </is>
      </c>
      <c r="B214" t="inlineStr">
        <is>
          <t>Payroll &amp; Benefits</t>
        </is>
      </c>
      <c r="C214" t="inlineStr">
        <is>
          <t>FY2025</t>
        </is>
      </c>
      <c r="D214" s="95" t="n">
        <v>17017.8</v>
      </c>
      <c r="E214" t="inlineStr">
        <is>
          <t>Restaurant</t>
        </is>
      </c>
    </row>
    <row r="215">
      <c r="A215" t="inlineStr">
        <is>
          <t>9525-2854 QI</t>
        </is>
      </c>
      <c r="B215" t="inlineStr">
        <is>
          <t>Occupancy</t>
        </is>
      </c>
      <c r="C215" t="inlineStr">
        <is>
          <t>FY2025</t>
        </is>
      </c>
      <c r="D215" s="95" t="n">
        <v>8.15</v>
      </c>
      <c r="E215" t="inlineStr">
        <is>
          <t>Restaurant</t>
        </is>
      </c>
    </row>
    <row r="216">
      <c r="A216" t="inlineStr">
        <is>
          <t>9525-2854 QI</t>
        </is>
      </c>
      <c r="B216" t="inlineStr">
        <is>
          <t>Repairs &amp; Maintenance</t>
        </is>
      </c>
      <c r="C216" t="inlineStr">
        <is>
          <t>FY2025</t>
        </is>
      </c>
      <c r="D216" s="95" t="n">
        <v>5393.52</v>
      </c>
      <c r="E216" t="inlineStr">
        <is>
          <t>Restaurant</t>
        </is>
      </c>
    </row>
    <row r="217">
      <c r="A217" t="inlineStr">
        <is>
          <t>9525-2854 QI</t>
        </is>
      </c>
      <c r="B217" t="inlineStr">
        <is>
          <t>Other Operating</t>
        </is>
      </c>
      <c r="C217" t="inlineStr">
        <is>
          <t>FY2025</t>
        </is>
      </c>
      <c r="D217" s="95" t="n">
        <v>1690.87</v>
      </c>
      <c r="E217" t="inlineStr">
        <is>
          <t>Restaurant</t>
        </is>
      </c>
    </row>
    <row r="218">
      <c r="A218" t="inlineStr">
        <is>
          <t>9525-2854 QI</t>
        </is>
      </c>
      <c r="B218" t="inlineStr">
        <is>
          <t>Marketing &amp; Entertainment</t>
        </is>
      </c>
      <c r="C218" t="inlineStr">
        <is>
          <t>FY2025</t>
        </is>
      </c>
      <c r="D218" s="95" t="n">
        <v>3819</v>
      </c>
      <c r="E218" t="inlineStr">
        <is>
          <t>Restaurant</t>
        </is>
      </c>
    </row>
    <row r="219">
      <c r="A219" t="inlineStr">
        <is>
          <t>9525-2854 QI</t>
        </is>
      </c>
      <c r="B219" t="inlineStr">
        <is>
          <t>Amortization</t>
        </is>
      </c>
      <c r="C219" t="inlineStr">
        <is>
          <t>FY2025</t>
        </is>
      </c>
      <c r="D219" s="95" t="n">
        <v>1623</v>
      </c>
      <c r="E219" t="inlineStr">
        <is>
          <t>Restaurant</t>
        </is>
      </c>
    </row>
    <row r="220">
      <c r="A220" t="inlineStr">
        <is>
          <t>9366-1049 QI</t>
        </is>
      </c>
      <c r="B220" t="inlineStr">
        <is>
          <t>Operating Revenue</t>
        </is>
      </c>
      <c r="C220" t="inlineStr">
        <is>
          <t>FY2025</t>
        </is>
      </c>
      <c r="D220" s="95" t="n">
        <v>-4020097.09</v>
      </c>
      <c r="E220" t="inlineStr">
        <is>
          <t>Restaurant</t>
        </is>
      </c>
    </row>
    <row r="221">
      <c r="A221" t="inlineStr">
        <is>
          <t>9366-1049 QI</t>
        </is>
      </c>
      <c r="B221" t="inlineStr">
        <is>
          <t>Other Operating</t>
        </is>
      </c>
      <c r="C221" t="inlineStr">
        <is>
          <t>FY2025</t>
        </is>
      </c>
      <c r="D221" s="95" t="n">
        <v>36589.58</v>
      </c>
      <c r="E221" t="inlineStr">
        <is>
          <t>Restaurant</t>
        </is>
      </c>
    </row>
    <row r="222">
      <c r="A222" t="inlineStr">
        <is>
          <t>9366-1049 QI</t>
        </is>
      </c>
      <c r="B222" t="inlineStr">
        <is>
          <t>Investment &amp; Other Income</t>
        </is>
      </c>
      <c r="C222" t="inlineStr">
        <is>
          <t>FY2025</t>
        </is>
      </c>
      <c r="D222" s="95" t="n">
        <v>-21238.18</v>
      </c>
      <c r="E222" t="inlineStr">
        <is>
          <t>Restaurant</t>
        </is>
      </c>
    </row>
    <row r="223">
      <c r="A223" t="inlineStr">
        <is>
          <t>9366-1049 QI</t>
        </is>
      </c>
      <c r="B223" t="inlineStr">
        <is>
          <t>COGS</t>
        </is>
      </c>
      <c r="C223" t="inlineStr">
        <is>
          <t>FY2025</t>
        </is>
      </c>
      <c r="D223" s="95" t="n">
        <v>1134014.92</v>
      </c>
      <c r="E223" t="inlineStr">
        <is>
          <t>Restaurant</t>
        </is>
      </c>
    </row>
    <row r="224">
      <c r="A224" t="inlineStr">
        <is>
          <t>9366-1049 QI</t>
        </is>
      </c>
      <c r="B224" t="inlineStr">
        <is>
          <t>Administrative</t>
        </is>
      </c>
      <c r="C224" t="inlineStr">
        <is>
          <t>FY2025</t>
        </is>
      </c>
      <c r="D224" s="95" t="n">
        <v>128437.63</v>
      </c>
      <c r="E224" t="inlineStr">
        <is>
          <t>Restaurant</t>
        </is>
      </c>
    </row>
    <row r="225">
      <c r="A225" t="inlineStr">
        <is>
          <t>9366-1049 QI</t>
        </is>
      </c>
      <c r="B225" t="inlineStr">
        <is>
          <t>Payroll &amp; Benefits</t>
        </is>
      </c>
      <c r="C225" t="inlineStr">
        <is>
          <t>FY2025</t>
        </is>
      </c>
      <c r="D225" s="95" t="n">
        <v>1648002.47</v>
      </c>
      <c r="E225" t="inlineStr">
        <is>
          <t>Restaurant</t>
        </is>
      </c>
    </row>
    <row r="226">
      <c r="A226" t="inlineStr">
        <is>
          <t>9366-1049 QI</t>
        </is>
      </c>
      <c r="B226" t="inlineStr">
        <is>
          <t>Occupancy</t>
        </is>
      </c>
      <c r="C226" t="inlineStr">
        <is>
          <t>FY2025</t>
        </is>
      </c>
      <c r="D226" s="95" t="n">
        <v>285429.57</v>
      </c>
      <c r="E226" t="inlineStr">
        <is>
          <t>Restaurant</t>
        </is>
      </c>
    </row>
    <row r="227">
      <c r="A227" t="inlineStr">
        <is>
          <t>9366-1049 QI</t>
        </is>
      </c>
      <c r="B227" t="inlineStr">
        <is>
          <t>Repairs &amp; Maintenance</t>
        </is>
      </c>
      <c r="C227" t="inlineStr">
        <is>
          <t>FY2025</t>
        </is>
      </c>
      <c r="D227" s="95" t="n">
        <v>112954.41</v>
      </c>
      <c r="E227" t="inlineStr">
        <is>
          <t>Restaurant</t>
        </is>
      </c>
    </row>
    <row r="228">
      <c r="A228" t="inlineStr">
        <is>
          <t>9366-1049 QI</t>
        </is>
      </c>
      <c r="B228" t="inlineStr">
        <is>
          <t>Marketing &amp; Entertainment</t>
        </is>
      </c>
      <c r="C228" t="inlineStr">
        <is>
          <t>FY2025</t>
        </is>
      </c>
      <c r="D228" s="95" t="n">
        <v>152125.33</v>
      </c>
      <c r="E228" t="inlineStr">
        <is>
          <t>Restaurant</t>
        </is>
      </c>
    </row>
    <row r="229">
      <c r="A229" t="inlineStr">
        <is>
          <t>9366-1049 QI</t>
        </is>
      </c>
      <c r="B229" t="inlineStr">
        <is>
          <t>Interest &amp; Financing</t>
        </is>
      </c>
      <c r="C229" t="inlineStr">
        <is>
          <t>FY2025</t>
        </is>
      </c>
      <c r="D229" s="95" t="n">
        <v>119756.18</v>
      </c>
      <c r="E229" t="inlineStr">
        <is>
          <t>Restaurant</t>
        </is>
      </c>
    </row>
    <row r="230">
      <c r="A230" t="inlineStr">
        <is>
          <t>9366-1049 QI</t>
        </is>
      </c>
      <c r="B230" t="inlineStr">
        <is>
          <t>Amortization</t>
        </is>
      </c>
      <c r="C230" t="inlineStr">
        <is>
          <t>FY2025</t>
        </is>
      </c>
      <c r="D230" s="95" t="n">
        <v>115151</v>
      </c>
      <c r="E230" t="inlineStr">
        <is>
          <t>Restaurant</t>
        </is>
      </c>
    </row>
    <row r="231">
      <c r="A231" t="inlineStr">
        <is>
          <t>9366-1049 QI</t>
        </is>
      </c>
      <c r="B231" t="inlineStr">
        <is>
          <t>Income Tax</t>
        </is>
      </c>
      <c r="C231" t="inlineStr">
        <is>
          <t>FY2025</t>
        </is>
      </c>
      <c r="D231" s="95" t="n">
        <v>55522</v>
      </c>
      <c r="E231" t="inlineStr">
        <is>
          <t>Restaurant</t>
        </is>
      </c>
    </row>
    <row r="232">
      <c r="A232" t="inlineStr">
        <is>
          <t>9366-1049 QI</t>
        </is>
      </c>
      <c r="B232" t="inlineStr">
        <is>
          <t>Operating Revenue</t>
        </is>
      </c>
      <c r="C232" t="inlineStr">
        <is>
          <t>FY2024</t>
        </is>
      </c>
      <c r="D232" s="95" t="n">
        <v>-3945668.63</v>
      </c>
      <c r="E232" t="inlineStr">
        <is>
          <t>Restaurant</t>
        </is>
      </c>
    </row>
    <row r="233">
      <c r="A233" t="inlineStr">
        <is>
          <t>9366-1049 QI</t>
        </is>
      </c>
      <c r="B233" t="inlineStr">
        <is>
          <t>Other Operating</t>
        </is>
      </c>
      <c r="C233" t="inlineStr">
        <is>
          <t>FY2024</t>
        </is>
      </c>
      <c r="D233" s="95" t="n">
        <v>51950.17</v>
      </c>
      <c r="E233" t="inlineStr">
        <is>
          <t>Restaurant</t>
        </is>
      </c>
    </row>
    <row r="234">
      <c r="A234" t="inlineStr">
        <is>
          <t>9366-1049 QI</t>
        </is>
      </c>
      <c r="B234" t="inlineStr">
        <is>
          <t>COGS</t>
        </is>
      </c>
      <c r="C234" t="inlineStr">
        <is>
          <t>FY2024</t>
        </is>
      </c>
      <c r="D234" s="95" t="n">
        <v>1336954</v>
      </c>
      <c r="E234" t="inlineStr">
        <is>
          <t>Restaurant</t>
        </is>
      </c>
    </row>
    <row r="235">
      <c r="A235" t="inlineStr">
        <is>
          <t>9366-1049 QI</t>
        </is>
      </c>
      <c r="B235" t="inlineStr">
        <is>
          <t>Administrative</t>
        </is>
      </c>
      <c r="C235" t="inlineStr">
        <is>
          <t>FY2024</t>
        </is>
      </c>
      <c r="D235" s="95" t="n">
        <v>104164.1</v>
      </c>
      <c r="E235" t="inlineStr">
        <is>
          <t>Restaurant</t>
        </is>
      </c>
    </row>
    <row r="236">
      <c r="A236" t="inlineStr">
        <is>
          <t>9366-1049 QI</t>
        </is>
      </c>
      <c r="B236" t="inlineStr">
        <is>
          <t>Payroll &amp; Benefits</t>
        </is>
      </c>
      <c r="C236" t="inlineStr">
        <is>
          <t>FY2024</t>
        </is>
      </c>
      <c r="D236" s="95" t="n">
        <v>1410408.29</v>
      </c>
      <c r="E236" t="inlineStr">
        <is>
          <t>Restaurant</t>
        </is>
      </c>
    </row>
    <row r="237">
      <c r="A237" t="inlineStr">
        <is>
          <t>9366-1049 QI</t>
        </is>
      </c>
      <c r="B237" t="inlineStr">
        <is>
          <t>Occupancy</t>
        </is>
      </c>
      <c r="C237" t="inlineStr">
        <is>
          <t>FY2024</t>
        </is>
      </c>
      <c r="D237" s="95" t="n">
        <v>204074.66</v>
      </c>
      <c r="E237" t="inlineStr">
        <is>
          <t>Restaurant</t>
        </is>
      </c>
    </row>
    <row r="238">
      <c r="A238" t="inlineStr">
        <is>
          <t>9366-1049 QI</t>
        </is>
      </c>
      <c r="B238" t="inlineStr">
        <is>
          <t>Repairs &amp; Maintenance</t>
        </is>
      </c>
      <c r="C238" t="inlineStr">
        <is>
          <t>FY2024</t>
        </is>
      </c>
      <c r="D238" s="95" t="n">
        <v>162786.02</v>
      </c>
      <c r="E238" t="inlineStr">
        <is>
          <t>Restaurant</t>
        </is>
      </c>
    </row>
    <row r="239">
      <c r="A239" t="inlineStr">
        <is>
          <t>9366-1049 QI</t>
        </is>
      </c>
      <c r="B239" t="inlineStr">
        <is>
          <t>Marketing &amp; Entertainment</t>
        </is>
      </c>
      <c r="C239" t="inlineStr">
        <is>
          <t>FY2024</t>
        </is>
      </c>
      <c r="D239" s="95" t="n">
        <v>74927.98</v>
      </c>
      <c r="E239" t="inlineStr">
        <is>
          <t>Restaurant</t>
        </is>
      </c>
    </row>
    <row r="240">
      <c r="A240" t="inlineStr">
        <is>
          <t>9366-1049 QI</t>
        </is>
      </c>
      <c r="B240" t="inlineStr">
        <is>
          <t>Interest &amp; Financing</t>
        </is>
      </c>
      <c r="C240" t="inlineStr">
        <is>
          <t>FY2024</t>
        </is>
      </c>
      <c r="D240" s="95" t="n">
        <v>102454.37</v>
      </c>
      <c r="E240" t="inlineStr">
        <is>
          <t>Restaurant</t>
        </is>
      </c>
    </row>
    <row r="241">
      <c r="A241" t="inlineStr">
        <is>
          <t>9366-1049 QI</t>
        </is>
      </c>
      <c r="B241" t="inlineStr">
        <is>
          <t>Amortization</t>
        </is>
      </c>
      <c r="C241" t="inlineStr">
        <is>
          <t>FY2024</t>
        </is>
      </c>
      <c r="D241" s="95" t="n">
        <v>75441</v>
      </c>
      <c r="E241" t="inlineStr">
        <is>
          <t>Restaurant</t>
        </is>
      </c>
    </row>
    <row r="242">
      <c r="A242" t="inlineStr">
        <is>
          <t>9366-1049 QI</t>
        </is>
      </c>
      <c r="B242" t="inlineStr">
        <is>
          <t>Income Tax</t>
        </is>
      </c>
      <c r="C242" t="inlineStr">
        <is>
          <t>FY2024</t>
        </is>
      </c>
      <c r="D242" s="95" t="n">
        <v>12250</v>
      </c>
      <c r="E242" t="inlineStr">
        <is>
          <t>Restaurant</t>
        </is>
      </c>
    </row>
    <row r="243">
      <c r="A243" t="inlineStr">
        <is>
          <t>9366-1049 QI</t>
        </is>
      </c>
      <c r="B243" t="inlineStr">
        <is>
          <t>Operating Revenue</t>
        </is>
      </c>
      <c r="C243" t="inlineStr">
        <is>
          <t>FY2023</t>
        </is>
      </c>
      <c r="D243" s="95" t="n">
        <v>-4192108.18</v>
      </c>
      <c r="E243" t="inlineStr">
        <is>
          <t>Restaurant</t>
        </is>
      </c>
    </row>
    <row r="244">
      <c r="A244" t="inlineStr">
        <is>
          <t>9366-1049 QI</t>
        </is>
      </c>
      <c r="B244" t="inlineStr">
        <is>
          <t>Other Operating</t>
        </is>
      </c>
      <c r="C244" t="inlineStr">
        <is>
          <t>FY2023</t>
        </is>
      </c>
      <c r="D244" s="95" t="n">
        <v>47186.32</v>
      </c>
      <c r="E244" t="inlineStr">
        <is>
          <t>Restaurant</t>
        </is>
      </c>
    </row>
    <row r="245">
      <c r="A245" t="inlineStr">
        <is>
          <t>9366-1049 QI</t>
        </is>
      </c>
      <c r="B245" t="inlineStr">
        <is>
          <t>COGS</t>
        </is>
      </c>
      <c r="C245" t="inlineStr">
        <is>
          <t>FY2023</t>
        </is>
      </c>
      <c r="D245" s="95" t="n">
        <v>1435652.25</v>
      </c>
      <c r="E245" t="inlineStr">
        <is>
          <t>Restaurant</t>
        </is>
      </c>
    </row>
    <row r="246">
      <c r="A246" t="inlineStr">
        <is>
          <t>9366-1049 QI</t>
        </is>
      </c>
      <c r="B246" t="inlineStr">
        <is>
          <t>Administrative</t>
        </is>
      </c>
      <c r="C246" t="inlineStr">
        <is>
          <t>FY2023</t>
        </is>
      </c>
      <c r="D246" s="95" t="n">
        <v>89534.44</v>
      </c>
      <c r="E246" t="inlineStr">
        <is>
          <t>Restaurant</t>
        </is>
      </c>
    </row>
    <row r="247">
      <c r="A247" t="inlineStr">
        <is>
          <t>9366-1049 QI</t>
        </is>
      </c>
      <c r="B247" t="inlineStr">
        <is>
          <t>Management Fees (Interco)</t>
        </is>
      </c>
      <c r="C247" t="inlineStr">
        <is>
          <t>FY2023</t>
        </is>
      </c>
      <c r="D247" s="95" t="n">
        <v>28000</v>
      </c>
      <c r="E247" t="inlineStr">
        <is>
          <t>Restaurant</t>
        </is>
      </c>
    </row>
    <row r="248">
      <c r="A248" t="inlineStr">
        <is>
          <t>9366-1049 QI</t>
        </is>
      </c>
      <c r="B248" t="inlineStr">
        <is>
          <t>Payroll &amp; Benefits</t>
        </is>
      </c>
      <c r="C248" t="inlineStr">
        <is>
          <t>FY2023</t>
        </is>
      </c>
      <c r="D248" s="95" t="n">
        <v>1565414.79</v>
      </c>
      <c r="E248" t="inlineStr">
        <is>
          <t>Restaurant</t>
        </is>
      </c>
    </row>
    <row r="249">
      <c r="A249" t="inlineStr">
        <is>
          <t>9366-1049 QI</t>
        </is>
      </c>
      <c r="B249" t="inlineStr">
        <is>
          <t>Occupancy</t>
        </is>
      </c>
      <c r="C249" t="inlineStr">
        <is>
          <t>FY2023</t>
        </is>
      </c>
      <c r="D249" s="95" t="n">
        <v>159546.21</v>
      </c>
      <c r="E249" t="inlineStr">
        <is>
          <t>Restaurant</t>
        </is>
      </c>
    </row>
    <row r="250">
      <c r="A250" t="inlineStr">
        <is>
          <t>9366-1049 QI</t>
        </is>
      </c>
      <c r="B250" t="inlineStr">
        <is>
          <t>Repairs &amp; Maintenance</t>
        </is>
      </c>
      <c r="C250" t="inlineStr">
        <is>
          <t>FY2023</t>
        </is>
      </c>
      <c r="D250" s="95" t="n">
        <v>110590.5</v>
      </c>
      <c r="E250" t="inlineStr">
        <is>
          <t>Restaurant</t>
        </is>
      </c>
    </row>
    <row r="251">
      <c r="A251" t="inlineStr">
        <is>
          <t>9366-1049 QI</t>
        </is>
      </c>
      <c r="B251" t="inlineStr">
        <is>
          <t>Marketing &amp; Entertainment</t>
        </is>
      </c>
      <c r="C251" t="inlineStr">
        <is>
          <t>FY2023</t>
        </is>
      </c>
      <c r="D251" s="95" t="n">
        <v>102861.78</v>
      </c>
      <c r="E251" t="inlineStr">
        <is>
          <t>Restaurant</t>
        </is>
      </c>
    </row>
    <row r="252">
      <c r="A252" t="inlineStr">
        <is>
          <t>9366-1049 QI</t>
        </is>
      </c>
      <c r="B252" t="inlineStr">
        <is>
          <t>Interest &amp; Financing</t>
        </is>
      </c>
      <c r="C252" t="inlineStr">
        <is>
          <t>FY2023</t>
        </is>
      </c>
      <c r="D252" s="95" t="n">
        <v>95846.64999999999</v>
      </c>
      <c r="E252" t="inlineStr">
        <is>
          <t>Restaurant</t>
        </is>
      </c>
    </row>
    <row r="253">
      <c r="A253" t="inlineStr">
        <is>
          <t>9366-1049 QI</t>
        </is>
      </c>
      <c r="B253" t="inlineStr">
        <is>
          <t>Amortization</t>
        </is>
      </c>
      <c r="C253" t="inlineStr">
        <is>
          <t>FY2023</t>
        </is>
      </c>
      <c r="D253" s="95" t="n">
        <v>45876</v>
      </c>
      <c r="E253" t="inlineStr">
        <is>
          <t>Restaurant</t>
        </is>
      </c>
    </row>
    <row r="254">
      <c r="A254" t="inlineStr">
        <is>
          <t>9366-1049 QI</t>
        </is>
      </c>
      <c r="B254" t="inlineStr">
        <is>
          <t>Income Tax</t>
        </is>
      </c>
      <c r="C254" t="inlineStr">
        <is>
          <t>FY2023</t>
        </is>
      </c>
      <c r="D254" s="95" t="n">
        <v>83963</v>
      </c>
      <c r="E254" t="inlineStr">
        <is>
          <t>Restaurant</t>
        </is>
      </c>
    </row>
    <row r="255">
      <c r="A255" t="inlineStr">
        <is>
          <t>9098-0558 QI</t>
        </is>
      </c>
      <c r="B255" t="inlineStr">
        <is>
          <t>Operating Revenue</t>
        </is>
      </c>
      <c r="C255" t="inlineStr">
        <is>
          <t>FY2025</t>
        </is>
      </c>
      <c r="D255" s="95" t="n">
        <v>-1606736.08</v>
      </c>
      <c r="E255" t="inlineStr">
        <is>
          <t>Restaurant</t>
        </is>
      </c>
    </row>
    <row r="256">
      <c r="A256" t="inlineStr">
        <is>
          <t>9098-0558 QI</t>
        </is>
      </c>
      <c r="B256" t="inlineStr">
        <is>
          <t>Other Operating</t>
        </is>
      </c>
      <c r="C256" t="inlineStr">
        <is>
          <t>FY2025</t>
        </is>
      </c>
      <c r="D256" s="95" t="n">
        <v>11810.27</v>
      </c>
      <c r="E256" t="inlineStr">
        <is>
          <t>Restaurant</t>
        </is>
      </c>
    </row>
    <row r="257">
      <c r="A257" t="inlineStr">
        <is>
          <t>9098-0558 QI</t>
        </is>
      </c>
      <c r="B257" t="inlineStr">
        <is>
          <t>Administrative</t>
        </is>
      </c>
      <c r="C257" t="inlineStr">
        <is>
          <t>FY2025</t>
        </is>
      </c>
      <c r="D257" s="95" t="n">
        <v>83140.49000000001</v>
      </c>
      <c r="E257" t="inlineStr">
        <is>
          <t>Restaurant</t>
        </is>
      </c>
    </row>
    <row r="258">
      <c r="A258" t="inlineStr">
        <is>
          <t>9098-0558 QI</t>
        </is>
      </c>
      <c r="B258" t="inlineStr">
        <is>
          <t>Interest &amp; Financing</t>
        </is>
      </c>
      <c r="C258" t="inlineStr">
        <is>
          <t>FY2025</t>
        </is>
      </c>
      <c r="D258" s="95" t="n">
        <v>35063.04</v>
      </c>
      <c r="E258" t="inlineStr">
        <is>
          <t>Restaurant</t>
        </is>
      </c>
    </row>
    <row r="259">
      <c r="A259" t="inlineStr">
        <is>
          <t>9098-0558 QI</t>
        </is>
      </c>
      <c r="B259" t="inlineStr">
        <is>
          <t>Management Fees (Interco)</t>
        </is>
      </c>
      <c r="C259" t="inlineStr">
        <is>
          <t>FY2025</t>
        </is>
      </c>
      <c r="D259" s="95" t="n">
        <v>51872</v>
      </c>
      <c r="E259" t="inlineStr">
        <is>
          <t>Restaurant</t>
        </is>
      </c>
    </row>
    <row r="260">
      <c r="A260" t="inlineStr">
        <is>
          <t>9098-0558 QI</t>
        </is>
      </c>
      <c r="B260" t="inlineStr">
        <is>
          <t>COGS</t>
        </is>
      </c>
      <c r="C260" t="inlineStr">
        <is>
          <t>FY2025</t>
        </is>
      </c>
      <c r="D260" s="95" t="n">
        <v>712190.6899999999</v>
      </c>
      <c r="E260" t="inlineStr">
        <is>
          <t>Restaurant</t>
        </is>
      </c>
    </row>
    <row r="261">
      <c r="A261" t="inlineStr">
        <is>
          <t>9098-0558 QI</t>
        </is>
      </c>
      <c r="B261" t="inlineStr">
        <is>
          <t>Payroll &amp; Benefits</t>
        </is>
      </c>
      <c r="C261" t="inlineStr">
        <is>
          <t>FY2025</t>
        </is>
      </c>
      <c r="D261" s="95" t="n">
        <v>371058.72</v>
      </c>
      <c r="E261" t="inlineStr">
        <is>
          <t>Restaurant</t>
        </is>
      </c>
    </row>
    <row r="262">
      <c r="A262" t="inlineStr">
        <is>
          <t>9098-0558 QI</t>
        </is>
      </c>
      <c r="B262" t="inlineStr">
        <is>
          <t>Occupancy</t>
        </is>
      </c>
      <c r="C262" t="inlineStr">
        <is>
          <t>FY2025</t>
        </is>
      </c>
      <c r="D262" s="95" t="n">
        <v>63879.98</v>
      </c>
      <c r="E262" t="inlineStr">
        <is>
          <t>Restaurant</t>
        </is>
      </c>
    </row>
    <row r="263">
      <c r="A263" t="inlineStr">
        <is>
          <t>9098-0558 QI</t>
        </is>
      </c>
      <c r="B263" t="inlineStr">
        <is>
          <t>Repairs &amp; Maintenance</t>
        </is>
      </c>
      <c r="C263" t="inlineStr">
        <is>
          <t>FY2025</t>
        </is>
      </c>
      <c r="D263" s="95" t="n">
        <v>14521.69</v>
      </c>
      <c r="E263" t="inlineStr">
        <is>
          <t>Restaurant</t>
        </is>
      </c>
    </row>
    <row r="264">
      <c r="A264" t="inlineStr">
        <is>
          <t>9098-0558 QI</t>
        </is>
      </c>
      <c r="B264" t="inlineStr">
        <is>
          <t>Marketing &amp; Entertainment</t>
        </is>
      </c>
      <c r="C264" t="inlineStr">
        <is>
          <t>FY2025</t>
        </is>
      </c>
      <c r="D264" s="95" t="n">
        <v>267190.19</v>
      </c>
      <c r="E264" t="inlineStr">
        <is>
          <t>Restaurant</t>
        </is>
      </c>
    </row>
    <row r="265">
      <c r="A265" t="inlineStr">
        <is>
          <t>9098-0558 QI</t>
        </is>
      </c>
      <c r="B265" t="inlineStr">
        <is>
          <t>Amortization</t>
        </is>
      </c>
      <c r="C265" t="inlineStr">
        <is>
          <t>FY2025</t>
        </is>
      </c>
      <c r="D265" s="95" t="n">
        <v>15416</v>
      </c>
      <c r="E265" t="inlineStr">
        <is>
          <t>Restaurant</t>
        </is>
      </c>
    </row>
    <row r="266">
      <c r="A266" t="inlineStr">
        <is>
          <t>9098-0558 QI</t>
        </is>
      </c>
      <c r="B266" t="inlineStr">
        <is>
          <t>Operating Revenue</t>
        </is>
      </c>
      <c r="C266" t="inlineStr">
        <is>
          <t>FY2024</t>
        </is>
      </c>
      <c r="D266" s="95" t="n">
        <v>-1854065.71</v>
      </c>
      <c r="E266" t="inlineStr">
        <is>
          <t>Restaurant</t>
        </is>
      </c>
    </row>
    <row r="267">
      <c r="A267" t="inlineStr">
        <is>
          <t>9098-0558 QI</t>
        </is>
      </c>
      <c r="B267" t="inlineStr">
        <is>
          <t>Other Operating</t>
        </is>
      </c>
      <c r="C267" t="inlineStr">
        <is>
          <t>FY2024</t>
        </is>
      </c>
      <c r="D267" s="95" t="n">
        <v>14821.35</v>
      </c>
      <c r="E267" t="inlineStr">
        <is>
          <t>Restaurant</t>
        </is>
      </c>
    </row>
    <row r="268">
      <c r="A268" t="inlineStr">
        <is>
          <t>9098-0558 QI</t>
        </is>
      </c>
      <c r="B268" t="inlineStr">
        <is>
          <t>Administrative</t>
        </is>
      </c>
      <c r="C268" t="inlineStr">
        <is>
          <t>FY2024</t>
        </is>
      </c>
      <c r="D268" s="95" t="n">
        <v>54056.48</v>
      </c>
      <c r="E268" t="inlineStr">
        <is>
          <t>Restaurant</t>
        </is>
      </c>
    </row>
    <row r="269">
      <c r="A269" t="inlineStr">
        <is>
          <t>9098-0558 QI</t>
        </is>
      </c>
      <c r="B269" t="inlineStr">
        <is>
          <t>Interest &amp; Financing</t>
        </is>
      </c>
      <c r="C269" t="inlineStr">
        <is>
          <t>FY2024</t>
        </is>
      </c>
      <c r="D269" s="95" t="n">
        <v>30851.77</v>
      </c>
      <c r="E269" t="inlineStr">
        <is>
          <t>Restaurant</t>
        </is>
      </c>
    </row>
    <row r="270">
      <c r="A270" t="inlineStr">
        <is>
          <t>9098-0558 QI</t>
        </is>
      </c>
      <c r="B270" t="inlineStr">
        <is>
          <t>COGS</t>
        </is>
      </c>
      <c r="C270" t="inlineStr">
        <is>
          <t>FY2024</t>
        </is>
      </c>
      <c r="D270" s="95" t="n">
        <v>862520.42</v>
      </c>
      <c r="E270" t="inlineStr">
        <is>
          <t>Restaurant</t>
        </is>
      </c>
    </row>
    <row r="271">
      <c r="A271" t="inlineStr">
        <is>
          <t>9098-0558 QI</t>
        </is>
      </c>
      <c r="B271" t="inlineStr">
        <is>
          <t>Payroll &amp; Benefits</t>
        </is>
      </c>
      <c r="C271" t="inlineStr">
        <is>
          <t>FY2024</t>
        </is>
      </c>
      <c r="D271" s="95" t="n">
        <v>360373.72</v>
      </c>
      <c r="E271" t="inlineStr">
        <is>
          <t>Restaurant</t>
        </is>
      </c>
    </row>
    <row r="272">
      <c r="A272" t="inlineStr">
        <is>
          <t>9098-0558 QI</t>
        </is>
      </c>
      <c r="B272" t="inlineStr">
        <is>
          <t>Occupancy</t>
        </is>
      </c>
      <c r="C272" t="inlineStr">
        <is>
          <t>FY2024</t>
        </is>
      </c>
      <c r="D272" s="95" t="n">
        <v>84572.03</v>
      </c>
      <c r="E272" t="inlineStr">
        <is>
          <t>Restaurant</t>
        </is>
      </c>
    </row>
    <row r="273">
      <c r="A273" t="inlineStr">
        <is>
          <t>9098-0558 QI</t>
        </is>
      </c>
      <c r="B273" t="inlineStr">
        <is>
          <t>Repairs &amp; Maintenance</t>
        </is>
      </c>
      <c r="C273" t="inlineStr">
        <is>
          <t>FY2024</t>
        </is>
      </c>
      <c r="D273" s="95" t="n">
        <v>27503.48</v>
      </c>
      <c r="E273" t="inlineStr">
        <is>
          <t>Restaurant</t>
        </is>
      </c>
    </row>
    <row r="274">
      <c r="A274" t="inlineStr">
        <is>
          <t>9098-0558 QI</t>
        </is>
      </c>
      <c r="B274" t="inlineStr">
        <is>
          <t>Marketing &amp; Entertainment</t>
        </is>
      </c>
      <c r="C274" t="inlineStr">
        <is>
          <t>FY2024</t>
        </is>
      </c>
      <c r="D274" s="95" t="n">
        <v>371929.89</v>
      </c>
      <c r="E274" t="inlineStr">
        <is>
          <t>Restaurant</t>
        </is>
      </c>
    </row>
    <row r="275">
      <c r="A275" t="inlineStr">
        <is>
          <t>9098-0558 QI</t>
        </is>
      </c>
      <c r="B275" t="inlineStr">
        <is>
          <t>Amortization</t>
        </is>
      </c>
      <c r="C275" t="inlineStr">
        <is>
          <t>FY2024</t>
        </is>
      </c>
      <c r="D275" s="95" t="n">
        <v>11293</v>
      </c>
      <c r="E275" t="inlineStr">
        <is>
          <t>Restaurant</t>
        </is>
      </c>
    </row>
    <row r="276">
      <c r="A276" t="inlineStr">
        <is>
          <t>9098-0558 QI</t>
        </is>
      </c>
      <c r="B276" t="inlineStr">
        <is>
          <t>Income Tax</t>
        </is>
      </c>
      <c r="C276" t="inlineStr">
        <is>
          <t>FY2024</t>
        </is>
      </c>
      <c r="D276" s="95" t="n">
        <v>4426</v>
      </c>
      <c r="E276" t="inlineStr">
        <is>
          <t>Restaurant</t>
        </is>
      </c>
    </row>
    <row r="277">
      <c r="A277" t="inlineStr">
        <is>
          <t>9098-0558 QI</t>
        </is>
      </c>
      <c r="B277" t="inlineStr">
        <is>
          <t>Operating Revenue</t>
        </is>
      </c>
      <c r="C277" t="inlineStr">
        <is>
          <t>FY2023</t>
        </is>
      </c>
      <c r="D277" s="95" t="n">
        <v>-1793621.56</v>
      </c>
      <c r="E277" t="inlineStr">
        <is>
          <t>Restaurant</t>
        </is>
      </c>
    </row>
    <row r="278">
      <c r="A278" t="inlineStr">
        <is>
          <t>9098-0558 QI</t>
        </is>
      </c>
      <c r="B278" t="inlineStr">
        <is>
          <t>Other Operating</t>
        </is>
      </c>
      <c r="C278" t="inlineStr">
        <is>
          <t>FY2023</t>
        </is>
      </c>
      <c r="D278" s="95" t="n">
        <v>14534.84</v>
      </c>
      <c r="E278" t="inlineStr">
        <is>
          <t>Restaurant</t>
        </is>
      </c>
    </row>
    <row r="279">
      <c r="A279" t="inlineStr">
        <is>
          <t>9098-0558 QI</t>
        </is>
      </c>
      <c r="B279" t="inlineStr">
        <is>
          <t>Administrative</t>
        </is>
      </c>
      <c r="C279" t="inlineStr">
        <is>
          <t>FY2023</t>
        </is>
      </c>
      <c r="D279" s="95" t="n">
        <v>65906.69</v>
      </c>
      <c r="E279" t="inlineStr">
        <is>
          <t>Restaurant</t>
        </is>
      </c>
    </row>
    <row r="280">
      <c r="A280" t="inlineStr">
        <is>
          <t>9098-0558 QI</t>
        </is>
      </c>
      <c r="B280" t="inlineStr">
        <is>
          <t>Interest &amp; Financing</t>
        </is>
      </c>
      <c r="C280" t="inlineStr">
        <is>
          <t>FY2023</t>
        </is>
      </c>
      <c r="D280" s="95" t="n">
        <v>31042.81</v>
      </c>
      <c r="E280" t="inlineStr">
        <is>
          <t>Restaurant</t>
        </is>
      </c>
    </row>
    <row r="281">
      <c r="A281" t="inlineStr">
        <is>
          <t>9098-0558 QI</t>
        </is>
      </c>
      <c r="B281" t="inlineStr">
        <is>
          <t>Management Fees (Interco)</t>
        </is>
      </c>
      <c r="C281" t="inlineStr">
        <is>
          <t>FY2023</t>
        </is>
      </c>
      <c r="D281" s="95" t="n">
        <v>96000</v>
      </c>
      <c r="E281" t="inlineStr">
        <is>
          <t>Restaurant</t>
        </is>
      </c>
    </row>
    <row r="282">
      <c r="A282" t="inlineStr">
        <is>
          <t>9098-0558 QI</t>
        </is>
      </c>
      <c r="B282" t="inlineStr">
        <is>
          <t>COGS</t>
        </is>
      </c>
      <c r="C282" t="inlineStr">
        <is>
          <t>FY2023</t>
        </is>
      </c>
      <c r="D282" s="95" t="n">
        <v>745956.71</v>
      </c>
      <c r="E282" t="inlineStr">
        <is>
          <t>Restaurant</t>
        </is>
      </c>
    </row>
    <row r="283">
      <c r="A283" t="inlineStr">
        <is>
          <t>9098-0558 QI</t>
        </is>
      </c>
      <c r="B283" t="inlineStr">
        <is>
          <t>Payroll &amp; Benefits</t>
        </is>
      </c>
      <c r="C283" t="inlineStr">
        <is>
          <t>FY2023</t>
        </is>
      </c>
      <c r="D283" s="95" t="n">
        <v>430360.81</v>
      </c>
      <c r="E283" t="inlineStr">
        <is>
          <t>Restaurant</t>
        </is>
      </c>
    </row>
    <row r="284">
      <c r="A284" t="inlineStr">
        <is>
          <t>9098-0558 QI</t>
        </is>
      </c>
      <c r="B284" t="inlineStr">
        <is>
          <t>Occupancy</t>
        </is>
      </c>
      <c r="C284" t="inlineStr">
        <is>
          <t>FY2023</t>
        </is>
      </c>
      <c r="D284" s="95" t="n">
        <v>63947.25</v>
      </c>
      <c r="E284" t="inlineStr">
        <is>
          <t>Restaurant</t>
        </is>
      </c>
    </row>
    <row r="285">
      <c r="A285" t="inlineStr">
        <is>
          <t>9098-0558 QI</t>
        </is>
      </c>
      <c r="B285" t="inlineStr">
        <is>
          <t>Repairs &amp; Maintenance</t>
        </is>
      </c>
      <c r="C285" t="inlineStr">
        <is>
          <t>FY2023</t>
        </is>
      </c>
      <c r="D285" s="95" t="n">
        <v>20527.86</v>
      </c>
      <c r="E285" t="inlineStr">
        <is>
          <t>Restaurant</t>
        </is>
      </c>
    </row>
    <row r="286">
      <c r="A286" t="inlineStr">
        <is>
          <t>9098-0558 QI</t>
        </is>
      </c>
      <c r="B286" t="inlineStr">
        <is>
          <t>Marketing &amp; Entertainment</t>
        </is>
      </c>
      <c r="C286" t="inlineStr">
        <is>
          <t>FY2023</t>
        </is>
      </c>
      <c r="D286" s="95" t="n">
        <v>230794.19</v>
      </c>
      <c r="E286" t="inlineStr">
        <is>
          <t>Restaurant</t>
        </is>
      </c>
    </row>
    <row r="287">
      <c r="A287" t="inlineStr">
        <is>
          <t>9098-0558 QI</t>
        </is>
      </c>
      <c r="B287" t="inlineStr">
        <is>
          <t>Amortization</t>
        </is>
      </c>
      <c r="C287" t="inlineStr">
        <is>
          <t>FY2023</t>
        </is>
      </c>
      <c r="D287" s="95" t="n">
        <v>7171</v>
      </c>
      <c r="E287" t="inlineStr">
        <is>
          <t>Restaurant</t>
        </is>
      </c>
    </row>
    <row r="288">
      <c r="A288" t="inlineStr">
        <is>
          <t>9098-0558 QI</t>
        </is>
      </c>
      <c r="B288" t="inlineStr">
        <is>
          <t>Income Tax</t>
        </is>
      </c>
      <c r="C288" t="inlineStr">
        <is>
          <t>FY2023</t>
        </is>
      </c>
      <c r="D288" s="95" t="n">
        <v>11162</v>
      </c>
      <c r="E288" t="inlineStr">
        <is>
          <t>Restaurant</t>
        </is>
      </c>
    </row>
    <row r="289">
      <c r="A289" t="inlineStr">
        <is>
          <t>2749-8567 QI</t>
        </is>
      </c>
      <c r="B289" t="inlineStr">
        <is>
          <t>Other Operating</t>
        </is>
      </c>
      <c r="C289" t="inlineStr">
        <is>
          <t>FY2025</t>
        </is>
      </c>
      <c r="D289" s="95" t="n">
        <v>19007.52</v>
      </c>
      <c r="E289" t="inlineStr">
        <is>
          <t>Rental</t>
        </is>
      </c>
    </row>
    <row r="290">
      <c r="A290" t="inlineStr">
        <is>
          <t>2749-8567 QI</t>
        </is>
      </c>
      <c r="B290" t="inlineStr">
        <is>
          <t>Operating Revenue</t>
        </is>
      </c>
      <c r="C290" t="inlineStr">
        <is>
          <t>FY2025</t>
        </is>
      </c>
      <c r="D290" s="95" t="n">
        <v>-109765.32</v>
      </c>
      <c r="E290" t="inlineStr">
        <is>
          <t>Rental</t>
        </is>
      </c>
    </row>
    <row r="291">
      <c r="A291" t="inlineStr">
        <is>
          <t>2749-8567 QI</t>
        </is>
      </c>
      <c r="B291" t="inlineStr">
        <is>
          <t>Repairs &amp; Maintenance</t>
        </is>
      </c>
      <c r="C291" t="inlineStr">
        <is>
          <t>FY2025</t>
        </is>
      </c>
      <c r="D291" s="95" t="n">
        <v>194.47</v>
      </c>
      <c r="E291" t="inlineStr">
        <is>
          <t>Rental</t>
        </is>
      </c>
    </row>
    <row r="292">
      <c r="A292" t="inlineStr">
        <is>
          <t>2749-8567 QI</t>
        </is>
      </c>
      <c r="B292" t="inlineStr">
        <is>
          <t>Management Fees (Interco)</t>
        </is>
      </c>
      <c r="C292" t="inlineStr">
        <is>
          <t>FY2025</t>
        </is>
      </c>
      <c r="D292" s="95" t="n">
        <v>36000</v>
      </c>
      <c r="E292" t="inlineStr">
        <is>
          <t>Rental</t>
        </is>
      </c>
    </row>
    <row r="293">
      <c r="A293" t="inlineStr">
        <is>
          <t>2749-8567 QI</t>
        </is>
      </c>
      <c r="B293" t="inlineStr">
        <is>
          <t>Administrative</t>
        </is>
      </c>
      <c r="C293" t="inlineStr">
        <is>
          <t>FY2025</t>
        </is>
      </c>
      <c r="D293" s="95" t="n">
        <v>7991.46</v>
      </c>
      <c r="E293" t="inlineStr">
        <is>
          <t>Rental</t>
        </is>
      </c>
    </row>
    <row r="294">
      <c r="A294" t="inlineStr">
        <is>
          <t>2749-8567 QI</t>
        </is>
      </c>
      <c r="B294" t="inlineStr">
        <is>
          <t>Amortization</t>
        </is>
      </c>
      <c r="C294" t="inlineStr">
        <is>
          <t>FY2025</t>
        </is>
      </c>
      <c r="D294" s="95" t="n">
        <v>20030</v>
      </c>
      <c r="E294" t="inlineStr">
        <is>
          <t>Rental</t>
        </is>
      </c>
    </row>
    <row r="295">
      <c r="A295" t="inlineStr">
        <is>
          <t>2749-8567 QI</t>
        </is>
      </c>
      <c r="B295" t="inlineStr">
        <is>
          <t>Interest &amp; Financing</t>
        </is>
      </c>
      <c r="C295" t="inlineStr">
        <is>
          <t>FY2025</t>
        </is>
      </c>
      <c r="D295" s="95" t="n">
        <v>461.73</v>
      </c>
      <c r="E295" t="inlineStr">
        <is>
          <t>Rental</t>
        </is>
      </c>
    </row>
    <row r="296">
      <c r="A296" t="inlineStr">
        <is>
          <t>2749-8567 QI</t>
        </is>
      </c>
      <c r="B296" t="inlineStr">
        <is>
          <t>Income Tax</t>
        </is>
      </c>
      <c r="C296" t="inlineStr">
        <is>
          <t>FY2025</t>
        </is>
      </c>
      <c r="D296" s="95" t="n">
        <v>4196</v>
      </c>
      <c r="E296" t="inlineStr">
        <is>
          <t>Rental</t>
        </is>
      </c>
    </row>
    <row r="297">
      <c r="A297" t="inlineStr">
        <is>
          <t>2749-8567 QI</t>
        </is>
      </c>
      <c r="B297" t="inlineStr">
        <is>
          <t>Other Operating</t>
        </is>
      </c>
      <c r="C297" t="inlineStr">
        <is>
          <t>FY2024</t>
        </is>
      </c>
      <c r="D297" s="95" t="n">
        <v>19007.52</v>
      </c>
      <c r="E297" t="inlineStr">
        <is>
          <t>Rental</t>
        </is>
      </c>
    </row>
    <row r="298">
      <c r="A298" t="inlineStr">
        <is>
          <t>2749-8567 QI</t>
        </is>
      </c>
      <c r="B298" t="inlineStr">
        <is>
          <t>Operating Revenue</t>
        </is>
      </c>
      <c r="C298" t="inlineStr">
        <is>
          <t>FY2024</t>
        </is>
      </c>
      <c r="D298" s="95" t="n">
        <v>-109765.32</v>
      </c>
      <c r="E298" t="inlineStr">
        <is>
          <t>Rental</t>
        </is>
      </c>
    </row>
    <row r="299">
      <c r="A299" t="inlineStr">
        <is>
          <t>2749-8567 QI</t>
        </is>
      </c>
      <c r="B299" t="inlineStr">
        <is>
          <t>Repairs &amp; Maintenance</t>
        </is>
      </c>
      <c r="C299" t="inlineStr">
        <is>
          <t>FY2024</t>
        </is>
      </c>
      <c r="D299" s="95" t="n">
        <v>4960.18</v>
      </c>
      <c r="E299" t="inlineStr">
        <is>
          <t>Rental</t>
        </is>
      </c>
    </row>
    <row r="300">
      <c r="A300" t="inlineStr">
        <is>
          <t>2749-8567 QI</t>
        </is>
      </c>
      <c r="B300" t="inlineStr">
        <is>
          <t>Management Fees (Interco)</t>
        </is>
      </c>
      <c r="C300" t="inlineStr">
        <is>
          <t>FY2024</t>
        </is>
      </c>
      <c r="D300" s="95" t="n">
        <v>25000</v>
      </c>
      <c r="E300" t="inlineStr">
        <is>
          <t>Rental</t>
        </is>
      </c>
    </row>
    <row r="301">
      <c r="A301" t="inlineStr">
        <is>
          <t>2749-8567 QI</t>
        </is>
      </c>
      <c r="B301" t="inlineStr">
        <is>
          <t>Administrative</t>
        </is>
      </c>
      <c r="C301" t="inlineStr">
        <is>
          <t>FY2024</t>
        </is>
      </c>
      <c r="D301" s="95" t="n">
        <v>12837.77</v>
      </c>
      <c r="E301" t="inlineStr">
        <is>
          <t>Rental</t>
        </is>
      </c>
    </row>
    <row r="302">
      <c r="A302" t="inlineStr">
        <is>
          <t>2749-8567 QI</t>
        </is>
      </c>
      <c r="B302" t="inlineStr">
        <is>
          <t>Amortization</t>
        </is>
      </c>
      <c r="C302" t="inlineStr">
        <is>
          <t>FY2024</t>
        </is>
      </c>
      <c r="D302" s="95" t="n">
        <v>22645</v>
      </c>
      <c r="E302" t="inlineStr">
        <is>
          <t>Rental</t>
        </is>
      </c>
    </row>
    <row r="303">
      <c r="A303" t="inlineStr">
        <is>
          <t>2749-8567 QI</t>
        </is>
      </c>
      <c r="B303" t="inlineStr">
        <is>
          <t>Interest &amp; Financing</t>
        </is>
      </c>
      <c r="C303" t="inlineStr">
        <is>
          <t>FY2024</t>
        </is>
      </c>
      <c r="D303" s="95" t="n">
        <v>153.5</v>
      </c>
      <c r="E303" t="inlineStr">
        <is>
          <t>Rental</t>
        </is>
      </c>
    </row>
    <row r="304">
      <c r="A304" t="inlineStr">
        <is>
          <t>2749-8567 QI</t>
        </is>
      </c>
      <c r="B304" t="inlineStr">
        <is>
          <t>Income Tax</t>
        </is>
      </c>
      <c r="C304" t="inlineStr">
        <is>
          <t>FY2024</t>
        </is>
      </c>
      <c r="D304" s="95" t="n">
        <v>3126</v>
      </c>
      <c r="E304" t="inlineStr">
        <is>
          <t>Rental</t>
        </is>
      </c>
    </row>
    <row r="305">
      <c r="A305" t="inlineStr">
        <is>
          <t>2749-8567 QI</t>
        </is>
      </c>
      <c r="B305" t="inlineStr">
        <is>
          <t>Other Operating</t>
        </is>
      </c>
      <c r="C305" t="inlineStr">
        <is>
          <t>FY2023</t>
        </is>
      </c>
      <c r="D305" s="95" t="n">
        <v>829.6</v>
      </c>
      <c r="E305" t="inlineStr">
        <is>
          <t>Rental</t>
        </is>
      </c>
    </row>
    <row r="306">
      <c r="A306" t="inlineStr">
        <is>
          <t>2749-8567 QI</t>
        </is>
      </c>
      <c r="B306" t="inlineStr">
        <is>
          <t>Operating Revenue</t>
        </is>
      </c>
      <c r="C306" t="inlineStr">
        <is>
          <t>FY2023</t>
        </is>
      </c>
      <c r="D306" s="95" t="n">
        <v>-84565.2</v>
      </c>
      <c r="E306" t="inlineStr">
        <is>
          <t>Rental</t>
        </is>
      </c>
    </row>
    <row r="307">
      <c r="A307" t="inlineStr">
        <is>
          <t>2749-8567 QI</t>
        </is>
      </c>
      <c r="B307" t="inlineStr">
        <is>
          <t>Management Fees (Interco)</t>
        </is>
      </c>
      <c r="C307" t="inlineStr">
        <is>
          <t>FY2023</t>
        </is>
      </c>
      <c r="D307" s="95" t="n">
        <v>24000</v>
      </c>
      <c r="E307" t="inlineStr">
        <is>
          <t>Rental</t>
        </is>
      </c>
    </row>
    <row r="308">
      <c r="A308" t="inlineStr">
        <is>
          <t>2749-8567 QI</t>
        </is>
      </c>
      <c r="B308" t="inlineStr">
        <is>
          <t>Administrative</t>
        </is>
      </c>
      <c r="C308" t="inlineStr">
        <is>
          <t>FY2023</t>
        </is>
      </c>
      <c r="D308" s="95" t="n">
        <v>8780.15</v>
      </c>
      <c r="E308" t="inlineStr">
        <is>
          <t>Rental</t>
        </is>
      </c>
    </row>
    <row r="309">
      <c r="A309" t="inlineStr">
        <is>
          <t>2749-8567 QI</t>
        </is>
      </c>
      <c r="B309" t="inlineStr">
        <is>
          <t>Amortization</t>
        </is>
      </c>
      <c r="C309" t="inlineStr">
        <is>
          <t>FY2023</t>
        </is>
      </c>
      <c r="D309" s="95" t="n">
        <v>25230</v>
      </c>
      <c r="E309" t="inlineStr">
        <is>
          <t>Rental</t>
        </is>
      </c>
    </row>
    <row r="310">
      <c r="A310" t="inlineStr">
        <is>
          <t>2749-8567 QI</t>
        </is>
      </c>
      <c r="B310" t="inlineStr">
        <is>
          <t>Interest &amp; Financing</t>
        </is>
      </c>
      <c r="C310" t="inlineStr">
        <is>
          <t>FY2023</t>
        </is>
      </c>
      <c r="D310" s="95" t="n">
        <v>123.98</v>
      </c>
      <c r="E310" t="inlineStr">
        <is>
          <t>Rental</t>
        </is>
      </c>
    </row>
    <row r="311">
      <c r="A311" t="inlineStr">
        <is>
          <t>2749-8567 QI</t>
        </is>
      </c>
      <c r="B311" t="inlineStr">
        <is>
          <t>Income Tax</t>
        </is>
      </c>
      <c r="C311" t="inlineStr">
        <is>
          <t>FY2023</t>
        </is>
      </c>
      <c r="D311" s="95" t="n">
        <v>3017</v>
      </c>
      <c r="E311" t="inlineStr">
        <is>
          <t>Rental</t>
        </is>
      </c>
    </row>
    <row r="312">
      <c r="A312" t="inlineStr">
        <is>
          <t>N/A_SanSan</t>
        </is>
      </c>
      <c r="B312" t="inlineStr">
        <is>
          <t>Operating Revenue</t>
        </is>
      </c>
      <c r="C312" t="inlineStr">
        <is>
          <t>FY2025</t>
        </is>
      </c>
      <c r="D312" s="95" t="n">
        <v>-72000</v>
      </c>
      <c r="E312" t="inlineStr">
        <is>
          <t>Rental</t>
        </is>
      </c>
    </row>
    <row r="313">
      <c r="A313" t="inlineStr">
        <is>
          <t>N/A_SanSan</t>
        </is>
      </c>
      <c r="B313" t="inlineStr">
        <is>
          <t>Interest &amp; Financing</t>
        </is>
      </c>
      <c r="C313" t="inlineStr">
        <is>
          <t>FY2025</t>
        </is>
      </c>
      <c r="D313" s="95" t="n">
        <v>3002.35</v>
      </c>
      <c r="E313" t="inlineStr">
        <is>
          <t>Rental</t>
        </is>
      </c>
    </row>
    <row r="314">
      <c r="A314" t="inlineStr">
        <is>
          <t>N/A_SanSan</t>
        </is>
      </c>
      <c r="B314" t="inlineStr">
        <is>
          <t>Amortization</t>
        </is>
      </c>
      <c r="C314" t="inlineStr">
        <is>
          <t>FY2025</t>
        </is>
      </c>
      <c r="D314" s="95" t="n">
        <v>10807</v>
      </c>
      <c r="E314" t="inlineStr">
        <is>
          <t>Rental</t>
        </is>
      </c>
    </row>
    <row r="315">
      <c r="A315" t="inlineStr">
        <is>
          <t>N/A_SanSan</t>
        </is>
      </c>
      <c r="B315" t="inlineStr">
        <is>
          <t>Occupancy</t>
        </is>
      </c>
      <c r="C315" t="inlineStr">
        <is>
          <t>FY2025</t>
        </is>
      </c>
      <c r="D315" s="95" t="n">
        <v>69715.82000000001</v>
      </c>
      <c r="E315" t="inlineStr">
        <is>
          <t>Rental</t>
        </is>
      </c>
    </row>
    <row r="316">
      <c r="A316" t="inlineStr">
        <is>
          <t>N/A_SanSan</t>
        </is>
      </c>
      <c r="B316" t="inlineStr">
        <is>
          <t>Administrative</t>
        </is>
      </c>
      <c r="C316" t="inlineStr">
        <is>
          <t>FY2025</t>
        </is>
      </c>
      <c r="D316" s="95" t="n">
        <v>4296</v>
      </c>
      <c r="E316" t="inlineStr">
        <is>
          <t>Rental</t>
        </is>
      </c>
    </row>
    <row r="317">
      <c r="A317" t="inlineStr">
        <is>
          <t>N/A_SanSan</t>
        </is>
      </c>
      <c r="B317" t="inlineStr">
        <is>
          <t>Operating Revenue</t>
        </is>
      </c>
      <c r="C317" t="inlineStr">
        <is>
          <t>FY2024</t>
        </is>
      </c>
      <c r="D317" s="95" t="n">
        <v>-72001</v>
      </c>
      <c r="E317" t="inlineStr">
        <is>
          <t>Rental</t>
        </is>
      </c>
    </row>
    <row r="318">
      <c r="A318" t="inlineStr">
        <is>
          <t>N/A_SanSan</t>
        </is>
      </c>
      <c r="B318" t="inlineStr">
        <is>
          <t>Interest &amp; Financing</t>
        </is>
      </c>
      <c r="C318" t="inlineStr">
        <is>
          <t>FY2024</t>
        </is>
      </c>
      <c r="D318" s="95" t="n">
        <v>340.62</v>
      </c>
      <c r="E318" t="inlineStr">
        <is>
          <t>Rental</t>
        </is>
      </c>
    </row>
    <row r="319">
      <c r="A319" t="inlineStr">
        <is>
          <t>N/A_SanSan</t>
        </is>
      </c>
      <c r="B319" t="inlineStr">
        <is>
          <t>Amortization</t>
        </is>
      </c>
      <c r="C319" t="inlineStr">
        <is>
          <t>FY2024</t>
        </is>
      </c>
      <c r="D319" s="95" t="n">
        <v>11257</v>
      </c>
      <c r="E319" t="inlineStr">
        <is>
          <t>Rental</t>
        </is>
      </c>
    </row>
    <row r="320">
      <c r="A320" t="inlineStr">
        <is>
          <t>N/A_SanSan</t>
        </is>
      </c>
      <c r="B320" t="inlineStr">
        <is>
          <t>Occupancy</t>
        </is>
      </c>
      <c r="C320" t="inlineStr">
        <is>
          <t>FY2024</t>
        </is>
      </c>
      <c r="D320" s="95" t="n">
        <v>69340.75999999999</v>
      </c>
      <c r="E320" t="inlineStr">
        <is>
          <t>Rental</t>
        </is>
      </c>
    </row>
    <row r="321">
      <c r="A321" t="inlineStr">
        <is>
          <t>N/A_SanSan</t>
        </is>
      </c>
      <c r="B321" t="inlineStr">
        <is>
          <t>Administrative</t>
        </is>
      </c>
      <c r="C321" t="inlineStr">
        <is>
          <t>FY2024</t>
        </is>
      </c>
      <c r="D321" s="95" t="n">
        <v>2203.93</v>
      </c>
      <c r="E321" t="inlineStr">
        <is>
          <t>Rental</t>
        </is>
      </c>
    </row>
    <row r="322">
      <c r="A322" t="inlineStr">
        <is>
          <t>N/A_SanSan</t>
        </is>
      </c>
      <c r="B322" t="inlineStr">
        <is>
          <t>Operating Revenue</t>
        </is>
      </c>
      <c r="C322" t="inlineStr">
        <is>
          <t>FY2023</t>
        </is>
      </c>
      <c r="D322" s="95" t="n">
        <v>-72000</v>
      </c>
      <c r="E322" t="inlineStr">
        <is>
          <t>Rental</t>
        </is>
      </c>
    </row>
    <row r="323">
      <c r="A323" t="inlineStr">
        <is>
          <t>N/A_SanSan</t>
        </is>
      </c>
      <c r="B323" t="inlineStr">
        <is>
          <t>Interest &amp; Financing</t>
        </is>
      </c>
      <c r="C323" t="inlineStr">
        <is>
          <t>FY2023</t>
        </is>
      </c>
      <c r="D323" s="95" t="n">
        <v>2422.9</v>
      </c>
      <c r="E323" t="inlineStr">
        <is>
          <t>Rental</t>
        </is>
      </c>
    </row>
    <row r="324">
      <c r="A324" t="inlineStr">
        <is>
          <t>N/A_SanSan</t>
        </is>
      </c>
      <c r="B324" t="inlineStr">
        <is>
          <t>Amortization</t>
        </is>
      </c>
      <c r="C324" t="inlineStr">
        <is>
          <t>FY2023</t>
        </is>
      </c>
      <c r="D324" s="95" t="n">
        <v>11458</v>
      </c>
      <c r="E324" t="inlineStr">
        <is>
          <t>Rental</t>
        </is>
      </c>
    </row>
    <row r="325">
      <c r="A325" t="inlineStr">
        <is>
          <t>N/A_SanSan</t>
        </is>
      </c>
      <c r="B325" t="inlineStr">
        <is>
          <t>Occupancy</t>
        </is>
      </c>
      <c r="C325" t="inlineStr">
        <is>
          <t>FY2023</t>
        </is>
      </c>
      <c r="D325" s="95" t="n">
        <v>67298.08</v>
      </c>
      <c r="E325" t="inlineStr">
        <is>
          <t>Rental</t>
        </is>
      </c>
    </row>
    <row r="326">
      <c r="A326" t="inlineStr">
        <is>
          <t>N/A_SanSan</t>
        </is>
      </c>
      <c r="B326" t="inlineStr">
        <is>
          <t>Administrative</t>
        </is>
      </c>
      <c r="C326" t="inlineStr">
        <is>
          <t>FY2023</t>
        </is>
      </c>
      <c r="D326" s="95" t="n">
        <v>24671.28</v>
      </c>
      <c r="E326" t="inlineStr">
        <is>
          <t>Rental</t>
        </is>
      </c>
    </row>
  </sheetData>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tabColor rgb="00C7C2B8"/>
    <outlinePr summaryBelow="1" summaryRight="1"/>
    <pageSetUpPr/>
  </sheetPr>
  <dimension ref="A1:B17"/>
  <sheetViews>
    <sheetView workbookViewId="0">
      <selection activeCell="A1" sqref="A1"/>
    </sheetView>
  </sheetViews>
  <sheetFormatPr baseColWidth="8" defaultRowHeight="15"/>
  <cols>
    <col width="16" customWidth="1" min="1" max="1"/>
    <col width="14" customWidth="1" min="2" max="2"/>
  </cols>
  <sheetData>
    <row r="1">
      <c r="A1" s="94" t="inlineStr">
        <is>
          <t>FilePrefix</t>
        </is>
      </c>
      <c r="B1" s="94" t="inlineStr">
        <is>
          <t>EntityId</t>
        </is>
      </c>
    </row>
    <row r="2">
      <c r="A2" t="inlineStr">
        <is>
          <t>935_742</t>
        </is>
      </c>
      <c r="B2" t="inlineStr">
        <is>
          <t>9357-7427 QI</t>
        </is>
      </c>
    </row>
    <row r="3">
      <c r="A3" t="inlineStr">
        <is>
          <t>936_167</t>
        </is>
      </c>
      <c r="B3" t="inlineStr">
        <is>
          <t>9366-1676 QI</t>
        </is>
      </c>
    </row>
    <row r="4">
      <c r="A4" t="inlineStr">
        <is>
          <t>942_454</t>
        </is>
      </c>
      <c r="B4" t="inlineStr">
        <is>
          <t>9425-4547 QI</t>
        </is>
      </c>
    </row>
    <row r="5">
      <c r="A5" t="inlineStr">
        <is>
          <t>945_416</t>
        </is>
      </c>
      <c r="B5" t="inlineStr">
        <is>
          <t>9455-4169 QI</t>
        </is>
      </c>
    </row>
    <row r="6">
      <c r="A6" t="inlineStr">
        <is>
          <t>945_417</t>
        </is>
      </c>
      <c r="B6" t="inlineStr">
        <is>
          <t>9455-4177 QI</t>
        </is>
      </c>
    </row>
    <row r="7">
      <c r="A7" t="inlineStr">
        <is>
          <t>945_420</t>
        </is>
      </c>
      <c r="B7" t="inlineStr">
        <is>
          <t>9455-4201 QI</t>
        </is>
      </c>
    </row>
    <row r="8">
      <c r="A8" t="inlineStr">
        <is>
          <t>Aub_Stl</t>
        </is>
      </c>
      <c r="B8" t="inlineStr">
        <is>
          <t>9108-6876 QI</t>
        </is>
      </c>
    </row>
    <row r="9">
      <c r="A9" t="inlineStr">
        <is>
          <t>Bis_Gur</t>
        </is>
      </c>
      <c r="B9" t="inlineStr">
        <is>
          <t>N/A_BisGur</t>
        </is>
      </c>
    </row>
    <row r="10">
      <c r="A10" t="inlineStr">
        <is>
          <t>Lob_Lou</t>
        </is>
      </c>
      <c r="B10" t="inlineStr">
        <is>
          <t>9096-0436 QI</t>
        </is>
      </c>
    </row>
    <row r="11">
      <c r="A11" t="inlineStr">
        <is>
          <t>Res_Her</t>
        </is>
      </c>
      <c r="B11" t="inlineStr">
        <is>
          <t>9504-7510 QI</t>
        </is>
      </c>
    </row>
    <row r="12">
      <c r="A12" t="inlineStr">
        <is>
          <t>Res_In2</t>
        </is>
      </c>
      <c r="B12" t="inlineStr">
        <is>
          <t>9455-8236 QI</t>
        </is>
      </c>
    </row>
    <row r="13">
      <c r="A13" t="inlineStr">
        <is>
          <t>Res_In3</t>
        </is>
      </c>
      <c r="B13" t="inlineStr">
        <is>
          <t>9525-2854 QI</t>
        </is>
      </c>
    </row>
    <row r="14">
      <c r="A14" t="inlineStr">
        <is>
          <t>Res_Ind</t>
        </is>
      </c>
      <c r="B14" t="inlineStr">
        <is>
          <t>9366-1049 QI</t>
        </is>
      </c>
    </row>
    <row r="15">
      <c r="A15" t="inlineStr">
        <is>
          <t>Res_Sa2</t>
        </is>
      </c>
      <c r="B15" t="inlineStr">
        <is>
          <t>9098-0558 QI</t>
        </is>
      </c>
    </row>
    <row r="16">
      <c r="A16" t="inlineStr">
        <is>
          <t>San_Lea</t>
        </is>
      </c>
      <c r="B16" t="inlineStr">
        <is>
          <t>2749-8567 QI</t>
        </is>
      </c>
    </row>
    <row r="17">
      <c r="A17" t="inlineStr">
        <is>
          <t>San_San</t>
        </is>
      </c>
      <c r="B17" t="inlineStr">
        <is>
          <t>N/A_SanSan</t>
        </is>
      </c>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tabColor rgb="00C7C2B8"/>
    <outlinePr summaryBelow="1" summaryRight="1"/>
    <pageSetUpPr/>
  </sheetPr>
  <dimension ref="A1:B58"/>
  <sheetViews>
    <sheetView workbookViewId="0">
      <selection activeCell="A1" sqref="A1"/>
    </sheetView>
  </sheetViews>
  <sheetFormatPr baseColWidth="8" defaultRowHeight="15"/>
  <cols>
    <col width="12" customWidth="1" min="1" max="1"/>
    <col width="26" customWidth="1" min="2" max="2"/>
  </cols>
  <sheetData>
    <row r="1">
      <c r="A1" s="94" t="inlineStr">
        <is>
          <t>GIFICode</t>
        </is>
      </c>
      <c r="B1" s="94" t="inlineStr">
        <is>
          <t>Category</t>
        </is>
      </c>
    </row>
    <row r="2">
      <c r="A2" t="inlineStr">
        <is>
          <t>8000</t>
        </is>
      </c>
      <c r="B2" t="inlineStr">
        <is>
          <t>Operating Revenue</t>
        </is>
      </c>
    </row>
    <row r="3">
      <c r="A3" t="inlineStr">
        <is>
          <t>8094</t>
        </is>
      </c>
      <c r="B3" t="inlineStr">
        <is>
          <t>Investment &amp; Other Income</t>
        </is>
      </c>
    </row>
    <row r="4">
      <c r="A4" t="inlineStr">
        <is>
          <t>8096</t>
        </is>
      </c>
      <c r="B4" t="inlineStr">
        <is>
          <t>Investment &amp; Other Income</t>
        </is>
      </c>
    </row>
    <row r="5">
      <c r="A5" t="inlineStr">
        <is>
          <t>8141</t>
        </is>
      </c>
      <c r="B5" t="inlineStr">
        <is>
          <t>Operating Revenue</t>
        </is>
      </c>
    </row>
    <row r="6">
      <c r="A6" t="inlineStr">
        <is>
          <t>8210</t>
        </is>
      </c>
      <c r="B6" t="inlineStr">
        <is>
          <t>Other Operating</t>
        </is>
      </c>
    </row>
    <row r="7">
      <c r="A7" t="inlineStr">
        <is>
          <t>8230</t>
        </is>
      </c>
      <c r="B7" t="inlineStr">
        <is>
          <t>Investment &amp; Other Income</t>
        </is>
      </c>
    </row>
    <row r="8">
      <c r="A8" t="inlineStr">
        <is>
          <t>8235</t>
        </is>
      </c>
      <c r="B8" t="inlineStr">
        <is>
          <t>Investment &amp; Other Income</t>
        </is>
      </c>
    </row>
    <row r="9">
      <c r="A9" t="inlineStr">
        <is>
          <t>8239</t>
        </is>
      </c>
      <c r="B9" t="inlineStr">
        <is>
          <t>Management Fees (Interco)</t>
        </is>
      </c>
    </row>
    <row r="10">
      <c r="A10" t="inlineStr">
        <is>
          <t>8241</t>
        </is>
      </c>
      <c r="B10" t="inlineStr">
        <is>
          <t>Operating Revenue</t>
        </is>
      </c>
    </row>
    <row r="11">
      <c r="A11" t="inlineStr">
        <is>
          <t>8242</t>
        </is>
      </c>
      <c r="B11" t="inlineStr">
        <is>
          <t>Other Operating</t>
        </is>
      </c>
    </row>
    <row r="12">
      <c r="A12" t="inlineStr">
        <is>
          <t>8248</t>
        </is>
      </c>
      <c r="B12" t="inlineStr">
        <is>
          <t>Investment &amp; Other Income</t>
        </is>
      </c>
    </row>
    <row r="13">
      <c r="A13" t="inlineStr">
        <is>
          <t>8249</t>
        </is>
      </c>
      <c r="B13" t="inlineStr">
        <is>
          <t>Other Operating</t>
        </is>
      </c>
    </row>
    <row r="14">
      <c r="A14" t="inlineStr">
        <is>
          <t>8300</t>
        </is>
      </c>
      <c r="B14" t="inlineStr">
        <is>
          <t>COGS</t>
        </is>
      </c>
    </row>
    <row r="15">
      <c r="A15" t="inlineStr">
        <is>
          <t>8320</t>
        </is>
      </c>
      <c r="B15" t="inlineStr">
        <is>
          <t>COGS</t>
        </is>
      </c>
    </row>
    <row r="16">
      <c r="A16" t="inlineStr">
        <is>
          <t>8340</t>
        </is>
      </c>
      <c r="B16" t="inlineStr">
        <is>
          <t>Payroll &amp; Benefits</t>
        </is>
      </c>
    </row>
    <row r="17">
      <c r="A17" t="inlineStr">
        <is>
          <t>8360</t>
        </is>
      </c>
      <c r="B17" t="inlineStr">
        <is>
          <t>Payroll &amp; Benefits</t>
        </is>
      </c>
    </row>
    <row r="18">
      <c r="A18" t="inlineStr">
        <is>
          <t>8450</t>
        </is>
      </c>
      <c r="B18" t="inlineStr">
        <is>
          <t>Other Operating</t>
        </is>
      </c>
    </row>
    <row r="19">
      <c r="A19" t="inlineStr">
        <is>
          <t>8461</t>
        </is>
      </c>
      <c r="B19" t="inlineStr">
        <is>
          <t>COGS</t>
        </is>
      </c>
    </row>
    <row r="20">
      <c r="A20" t="inlineStr">
        <is>
          <t>8500</t>
        </is>
      </c>
      <c r="B20" t="inlineStr">
        <is>
          <t>COGS</t>
        </is>
      </c>
    </row>
    <row r="21">
      <c r="A21" t="inlineStr">
        <is>
          <t>8520</t>
        </is>
      </c>
      <c r="B21" t="inlineStr">
        <is>
          <t>Marketing &amp; Entertainment</t>
        </is>
      </c>
    </row>
    <row r="22">
      <c r="A22" t="inlineStr">
        <is>
          <t>8521</t>
        </is>
      </c>
      <c r="B22" t="inlineStr">
        <is>
          <t>Marketing &amp; Entertainment</t>
        </is>
      </c>
    </row>
    <row r="23">
      <c r="A23" t="inlineStr">
        <is>
          <t>8522</t>
        </is>
      </c>
      <c r="B23" t="inlineStr">
        <is>
          <t>Administrative</t>
        </is>
      </c>
    </row>
    <row r="24">
      <c r="A24" t="inlineStr">
        <is>
          <t>8523</t>
        </is>
      </c>
      <c r="B24" t="inlineStr">
        <is>
          <t>Other Operating</t>
        </is>
      </c>
    </row>
    <row r="25">
      <c r="A25" t="inlineStr">
        <is>
          <t>8590</t>
        </is>
      </c>
      <c r="B25" t="inlineStr">
        <is>
          <t>Administrative</t>
        </is>
      </c>
    </row>
    <row r="26">
      <c r="A26" t="inlineStr">
        <is>
          <t>8670</t>
        </is>
      </c>
      <c r="B26" t="inlineStr">
        <is>
          <t>Amortization</t>
        </is>
      </c>
    </row>
    <row r="27">
      <c r="A27" t="inlineStr">
        <is>
          <t>8690</t>
        </is>
      </c>
      <c r="B27" t="inlineStr">
        <is>
          <t>Administrative</t>
        </is>
      </c>
    </row>
    <row r="28">
      <c r="A28" t="inlineStr">
        <is>
          <t>8691</t>
        </is>
      </c>
      <c r="B28" t="inlineStr">
        <is>
          <t>Administrative</t>
        </is>
      </c>
    </row>
    <row r="29">
      <c r="A29" t="inlineStr">
        <is>
          <t>8710</t>
        </is>
      </c>
      <c r="B29" t="inlineStr">
        <is>
          <t>Interest &amp; Financing</t>
        </is>
      </c>
    </row>
    <row r="30">
      <c r="A30" t="inlineStr">
        <is>
          <t>8711</t>
        </is>
      </c>
      <c r="B30" t="inlineStr">
        <is>
          <t>Interest &amp; Financing</t>
        </is>
      </c>
    </row>
    <row r="31">
      <c r="A31" t="inlineStr">
        <is>
          <t>8713</t>
        </is>
      </c>
      <c r="B31" t="inlineStr">
        <is>
          <t>Interest &amp; Financing</t>
        </is>
      </c>
    </row>
    <row r="32">
      <c r="A32" t="inlineStr">
        <is>
          <t>8714</t>
        </is>
      </c>
      <c r="B32" t="inlineStr">
        <is>
          <t>Interest &amp; Financing</t>
        </is>
      </c>
    </row>
    <row r="33">
      <c r="A33" t="inlineStr">
        <is>
          <t>8760</t>
        </is>
      </c>
      <c r="B33" t="inlineStr">
        <is>
          <t>Administrative</t>
        </is>
      </c>
    </row>
    <row r="34">
      <c r="A34" t="inlineStr">
        <is>
          <t>8810</t>
        </is>
      </c>
      <c r="B34" t="inlineStr">
        <is>
          <t>Administrative</t>
        </is>
      </c>
    </row>
    <row r="35">
      <c r="A35" t="inlineStr">
        <is>
          <t>8811</t>
        </is>
      </c>
      <c r="B35" t="inlineStr">
        <is>
          <t>Administrative</t>
        </is>
      </c>
    </row>
    <row r="36">
      <c r="A36" t="inlineStr">
        <is>
          <t>8860</t>
        </is>
      </c>
      <c r="B36" t="inlineStr">
        <is>
          <t>Administrative</t>
        </is>
      </c>
    </row>
    <row r="37">
      <c r="A37" t="inlineStr">
        <is>
          <t>8863</t>
        </is>
      </c>
      <c r="B37" t="inlineStr">
        <is>
          <t>Administrative</t>
        </is>
      </c>
    </row>
    <row r="38">
      <c r="A38" t="inlineStr">
        <is>
          <t>8871</t>
        </is>
      </c>
      <c r="B38" t="inlineStr">
        <is>
          <t>Management Fees (Interco)</t>
        </is>
      </c>
    </row>
    <row r="39">
      <c r="A39" t="inlineStr">
        <is>
          <t>8910</t>
        </is>
      </c>
      <c r="B39" t="inlineStr">
        <is>
          <t>Occupancy</t>
        </is>
      </c>
    </row>
    <row r="40">
      <c r="A40" t="inlineStr">
        <is>
          <t>8912</t>
        </is>
      </c>
      <c r="B40" t="inlineStr">
        <is>
          <t>Occupancy</t>
        </is>
      </c>
    </row>
    <row r="41">
      <c r="A41" t="inlineStr">
        <is>
          <t>8913</t>
        </is>
      </c>
      <c r="B41" t="inlineStr">
        <is>
          <t>Occupancy</t>
        </is>
      </c>
    </row>
    <row r="42">
      <c r="A42" t="inlineStr">
        <is>
          <t>8914</t>
        </is>
      </c>
      <c r="B42" t="inlineStr">
        <is>
          <t>Other Operating</t>
        </is>
      </c>
    </row>
    <row r="43">
      <c r="A43" t="inlineStr">
        <is>
          <t>8960</t>
        </is>
      </c>
      <c r="B43" t="inlineStr">
        <is>
          <t>Repairs &amp; Maintenance</t>
        </is>
      </c>
    </row>
    <row r="44">
      <c r="A44" t="inlineStr">
        <is>
          <t>9060</t>
        </is>
      </c>
      <c r="B44" t="inlineStr">
        <is>
          <t>Payroll &amp; Benefits</t>
        </is>
      </c>
    </row>
    <row r="45">
      <c r="A45" t="inlineStr">
        <is>
          <t>9061</t>
        </is>
      </c>
      <c r="B45" t="inlineStr">
        <is>
          <t>Payroll &amp; Benefits</t>
        </is>
      </c>
    </row>
    <row r="46">
      <c r="A46" t="inlineStr">
        <is>
          <t>9066</t>
        </is>
      </c>
      <c r="B46" t="inlineStr">
        <is>
          <t>Payroll &amp; Benefits</t>
        </is>
      </c>
    </row>
    <row r="47">
      <c r="A47" t="inlineStr">
        <is>
          <t>9110</t>
        </is>
      </c>
      <c r="B47" t="inlineStr">
        <is>
          <t>Other Operating</t>
        </is>
      </c>
    </row>
    <row r="48">
      <c r="A48" t="inlineStr">
        <is>
          <t>9130</t>
        </is>
      </c>
      <c r="B48" t="inlineStr">
        <is>
          <t>COGS</t>
        </is>
      </c>
    </row>
    <row r="49">
      <c r="A49" t="inlineStr">
        <is>
          <t>9133</t>
        </is>
      </c>
      <c r="B49" t="inlineStr">
        <is>
          <t>Other Operating</t>
        </is>
      </c>
    </row>
    <row r="50">
      <c r="A50" t="inlineStr">
        <is>
          <t>9134</t>
        </is>
      </c>
      <c r="B50" t="inlineStr">
        <is>
          <t>Other Operating</t>
        </is>
      </c>
    </row>
    <row r="51">
      <c r="A51" t="inlineStr">
        <is>
          <t>9200</t>
        </is>
      </c>
      <c r="B51" t="inlineStr">
        <is>
          <t>Other Operating</t>
        </is>
      </c>
    </row>
    <row r="52">
      <c r="A52" t="inlineStr">
        <is>
          <t>9220</t>
        </is>
      </c>
      <c r="B52" t="inlineStr">
        <is>
          <t>Occupancy</t>
        </is>
      </c>
    </row>
    <row r="53">
      <c r="A53" t="inlineStr">
        <is>
          <t>9221</t>
        </is>
      </c>
      <c r="B53" t="inlineStr">
        <is>
          <t>Occupancy</t>
        </is>
      </c>
    </row>
    <row r="54">
      <c r="A54" t="inlineStr">
        <is>
          <t>9225</t>
        </is>
      </c>
      <c r="B54" t="inlineStr">
        <is>
          <t>Administrative</t>
        </is>
      </c>
    </row>
    <row r="55">
      <c r="A55" t="inlineStr">
        <is>
          <t>9270</t>
        </is>
      </c>
      <c r="B55" t="inlineStr">
        <is>
          <t>Amortization</t>
        </is>
      </c>
    </row>
    <row r="56">
      <c r="A56" t="inlineStr">
        <is>
          <t>9281</t>
        </is>
      </c>
      <c r="B56" t="inlineStr">
        <is>
          <t>Other Operating</t>
        </is>
      </c>
    </row>
    <row r="57">
      <c r="A57" t="inlineStr">
        <is>
          <t>9793</t>
        </is>
      </c>
      <c r="B57" t="inlineStr">
        <is>
          <t>Administrative</t>
        </is>
      </c>
    </row>
    <row r="58">
      <c r="A58" t="inlineStr">
        <is>
          <t>9990</t>
        </is>
      </c>
      <c r="B58" t="inlineStr">
        <is>
          <t>Income Tax</t>
        </is>
      </c>
    </row>
  </sheetData>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tabColor rgb="00C7C2B8"/>
    <outlinePr summaryBelow="1" summaryRight="1"/>
    <pageSetUpPr/>
  </sheetPr>
  <dimension ref="A1:C8"/>
  <sheetViews>
    <sheetView workbookViewId="0">
      <selection activeCell="A1" sqref="A1"/>
    </sheetView>
  </sheetViews>
  <sheetFormatPr baseColWidth="8" defaultRowHeight="15"/>
  <cols>
    <col width="12" customWidth="1" min="1" max="1"/>
    <col width="16" customWidth="1" min="2" max="2"/>
    <col width="26" customWidth="1" min="3" max="3"/>
  </cols>
  <sheetData>
    <row r="1">
      <c r="A1" s="94" t="inlineStr">
        <is>
          <t>FilePrefix</t>
        </is>
      </c>
      <c r="B1" s="94" t="inlineStr">
        <is>
          <t>MapNoNormalized</t>
        </is>
      </c>
      <c r="C1" s="94" t="inlineStr">
        <is>
          <t>Category</t>
        </is>
      </c>
    </row>
    <row r="2">
      <c r="A2" t="inlineStr">
        <is>
          <t>San_San</t>
        </is>
      </c>
      <c r="B2" t="inlineStr">
        <is>
          <t>20.1</t>
        </is>
      </c>
      <c r="C2" t="inlineStr">
        <is>
          <t>Operating Revenue</t>
        </is>
      </c>
    </row>
    <row r="3">
      <c r="A3" t="inlineStr">
        <is>
          <t>San_San</t>
        </is>
      </c>
      <c r="B3" t="inlineStr">
        <is>
          <t>40.1</t>
        </is>
      </c>
      <c r="C3" t="inlineStr">
        <is>
          <t>Interest &amp; Financing</t>
        </is>
      </c>
    </row>
    <row r="4">
      <c r="A4" t="inlineStr">
        <is>
          <t>San_San</t>
        </is>
      </c>
      <c r="B4" t="inlineStr">
        <is>
          <t>40.2</t>
        </is>
      </c>
      <c r="C4" t="inlineStr">
        <is>
          <t>Occupancy</t>
        </is>
      </c>
    </row>
    <row r="5">
      <c r="A5" t="inlineStr">
        <is>
          <t>San_San</t>
        </is>
      </c>
      <c r="B5" t="inlineStr">
        <is>
          <t>40.6</t>
        </is>
      </c>
      <c r="C5" t="inlineStr">
        <is>
          <t>Administrative</t>
        </is>
      </c>
    </row>
    <row r="6">
      <c r="A6" t="inlineStr">
        <is>
          <t>Res_In2</t>
        </is>
      </c>
      <c r="B6" t="inlineStr">
        <is>
          <t>40.26</t>
        </is>
      </c>
      <c r="C6" t="inlineStr">
        <is>
          <t>Occupancy</t>
        </is>
      </c>
    </row>
    <row r="7">
      <c r="A7" t="inlineStr">
        <is>
          <t>Res_In2</t>
        </is>
      </c>
      <c r="B7" t="inlineStr">
        <is>
          <t>40.2</t>
        </is>
      </c>
      <c r="C7" t="inlineStr">
        <is>
          <t>Other Operating</t>
        </is>
      </c>
    </row>
    <row r="8">
      <c r="A8" t="inlineStr">
        <is>
          <t>San_San</t>
        </is>
      </c>
      <c r="B8" t="inlineStr">
        <is>
          <t>40.3</t>
        </is>
      </c>
      <c r="C8" t="inlineStr">
        <is>
          <t>Administrative</t>
        </is>
      </c>
    </row>
  </sheetData>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tabColor rgb="00C7C2B8"/>
    <outlinePr summaryBelow="1" summaryRight="1"/>
    <pageSetUpPr/>
  </sheetPr>
  <dimension ref="A1:C7"/>
  <sheetViews>
    <sheetView workbookViewId="0">
      <selection activeCell="A1" sqref="A1"/>
    </sheetView>
  </sheetViews>
  <sheetFormatPr baseColWidth="8" defaultRowHeight="15"/>
  <cols>
    <col width="12" customWidth="1" min="1" max="1"/>
    <col width="12" customWidth="1" min="2" max="2"/>
    <col width="26" customWidth="1" min="3" max="3"/>
  </cols>
  <sheetData>
    <row r="1">
      <c r="A1" s="94" t="inlineStr">
        <is>
          <t>FilePrefix</t>
        </is>
      </c>
      <c r="B1" s="94" t="inlineStr">
        <is>
          <t>AccountNo</t>
        </is>
      </c>
      <c r="C1" s="94" t="inlineStr">
        <is>
          <t>Category</t>
        </is>
      </c>
    </row>
    <row r="2">
      <c r="A2" t="inlineStr">
        <is>
          <t>Res_In2</t>
        </is>
      </c>
      <c r="B2" t="n">
        <v>45130</v>
      </c>
      <c r="C2" t="inlineStr">
        <is>
          <t>Marketing &amp; Entertainment</t>
        </is>
      </c>
    </row>
    <row r="3">
      <c r="A3" t="inlineStr">
        <is>
          <t>Res_In2</t>
        </is>
      </c>
      <c r="B3" t="n">
        <v>45125</v>
      </c>
      <c r="C3" t="inlineStr">
        <is>
          <t>Marketing &amp; Entertainment</t>
        </is>
      </c>
    </row>
    <row r="4">
      <c r="A4" t="inlineStr">
        <is>
          <t>Res_In2</t>
        </is>
      </c>
      <c r="B4" t="n">
        <v>44215</v>
      </c>
      <c r="C4" t="inlineStr">
        <is>
          <t>Other Operating</t>
        </is>
      </c>
    </row>
    <row r="5">
      <c r="A5" t="inlineStr">
        <is>
          <t>Res_In2</t>
        </is>
      </c>
      <c r="B5" t="n">
        <v>33455</v>
      </c>
      <c r="C5" t="inlineStr">
        <is>
          <t>Other Operating</t>
        </is>
      </c>
    </row>
    <row r="6">
      <c r="A6" t="inlineStr">
        <is>
          <t>Res_In2</t>
        </is>
      </c>
      <c r="B6" t="n">
        <v>45250</v>
      </c>
      <c r="C6" t="inlineStr">
        <is>
          <t>Other Operating</t>
        </is>
      </c>
    </row>
    <row r="7">
      <c r="A7" t="inlineStr">
        <is>
          <t>Res_In2</t>
        </is>
      </c>
      <c r="B7" t="n">
        <v>45150</v>
      </c>
      <c r="C7" t="inlineStr">
        <is>
          <t>Other Operating</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2026-09-22T18:58:13Z</dcterms:created>
  <dcterms:modified xsi:type="dcterms:W3CDTF">2026-09-22T18:58:13Z</dcterms:modified>
</cp:coreProperties>
</file>