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 Exec Summary" sheetId="1" state="visible" r:id="rId1"/>
    <sheet name="02 Profitability" sheetId="2" state="visible" r:id="rId2"/>
    <sheet name="03 Tax Position" sheetId="3" state="visible" r:id="rId3"/>
    <sheet name="Entity Register" sheetId="4" state="visible" r:id="rId4"/>
    <sheet name="Group Summary" sheetId="5" state="visible" r:id="rId5"/>
    <sheet name="Notes &amp; Validation" sheetId="6" state="visible" r:id="rId6"/>
    <sheet name="Dim_Entity" sheetId="7" state="visible" r:id="rId7"/>
    <sheet name="Dim_Calendar" sheetId="8" state="visible" r:id="rId8"/>
    <sheet name="Fact_TrialBalance" sheetId="9" state="visible" r:id="rId9"/>
  </sheets>
  <definedNames/>
  <calcPr calcId="124519" fullCalcOnLoad="1"/>
</workbook>
</file>

<file path=xl/styles.xml><?xml version="1.0" encoding="utf-8"?>
<styleSheet xmlns="http://schemas.openxmlformats.org/spreadsheetml/2006/main">
  <numFmts count="2">
    <numFmt numFmtId="164" formatCode="#,##0;[RED](#,##0)"/>
    <numFmt numFmtId="165" formatCode="0.0%"/>
  </numFmts>
  <fonts count="33">
    <font>
      <name val="Calibri"/>
      <family val="2"/>
      <color theme="1"/>
      <sz val="11"/>
      <scheme val="minor"/>
    </font>
    <font>
      <b val="1"/>
      <color rgb="00FFFFFF"/>
    </font>
    <font>
      <name val="Calibri"/>
      <b val="1"/>
      <color rgb="001C2B45"/>
      <sz val="9"/>
    </font>
    <font>
      <name val="Calibri"/>
      <b val="1"/>
      <color rgb="001C2B45"/>
      <sz val="20"/>
    </font>
    <font>
      <i val="1"/>
      <color rgb="006B7280"/>
      <sz val="10"/>
    </font>
    <font>
      <name val="Calibri"/>
      <b val="1"/>
      <color rgb="006B7280"/>
      <sz val="9"/>
    </font>
    <font>
      <name val="Calibri"/>
      <b val="1"/>
      <color rgb="001C2B45"/>
      <sz val="17"/>
    </font>
    <font>
      <i val="1"/>
      <color rgb="006B7280"/>
      <sz val="8"/>
    </font>
    <font>
      <b val="1"/>
      <color rgb="001C2B45"/>
      <sz val="13"/>
    </font>
    <font>
      <b val="1"/>
      <color rgb="001E6B52"/>
      <sz val="11"/>
    </font>
    <font>
      <color rgb="001A1A1A"/>
      <sz val="9.5"/>
    </font>
    <font>
      <b val="1"/>
      <color rgb="00C9A227"/>
      <sz val="11"/>
    </font>
    <font>
      <b val="1"/>
      <color rgb="006B7280"/>
      <sz val="11"/>
    </font>
    <font>
      <b val="1"/>
      <color rgb="001C2B45"/>
      <sz val="10"/>
    </font>
    <font>
      <name val="Calibri"/>
      <b val="1"/>
      <color rgb="00FFFFFF"/>
      <sz val="20"/>
    </font>
    <font>
      <name val="Calibri"/>
      <i val="1"/>
      <color rgb="00D9E2EC"/>
      <sz val="11"/>
    </font>
    <font>
      <name val="Calibri"/>
      <b val="1"/>
      <color rgb="006B7280"/>
      <sz val="10"/>
    </font>
    <font>
      <b val="1"/>
      <color rgb="001C2B45"/>
      <sz val="12"/>
    </font>
    <font>
      <color rgb="006B7280"/>
      <sz val="8"/>
    </font>
    <font>
      <name val="Calibri"/>
      <b val="1"/>
      <color rgb="00FFFFFF"/>
      <sz val="10"/>
    </font>
    <font>
      <name val="Calibri"/>
      <b val="1"/>
      <color rgb="001C2B45"/>
      <sz val="18"/>
    </font>
    <font>
      <name val="Calibri"/>
      <b val="1"/>
      <color rgb="00FFFFFF"/>
      <sz val="13"/>
    </font>
    <font>
      <i val="1"/>
      <color rgb="006B7280"/>
      <sz val="9.5"/>
    </font>
    <font>
      <b val="1"/>
      <color rgb="001C2B45"/>
      <sz val="11"/>
    </font>
    <font>
      <i val="1"/>
      <color rgb="006B7280"/>
      <sz val="8.5"/>
    </font>
    <font>
      <color rgb="00B3261E"/>
      <sz val="9.5"/>
    </font>
    <font>
      <b val="1"/>
      <color rgb="001C2B45"/>
    </font>
    <font>
      <i val="1"/>
      <color rgb="006B7280"/>
      <sz val="9"/>
    </font>
    <font>
      <b val="1"/>
      <color rgb="001C2B45"/>
      <sz val="14"/>
    </font>
    <font>
      <color rgb="001A1A1A"/>
      <sz val="10"/>
    </font>
    <font>
      <b val="1"/>
      <color rgb="00B3261E"/>
      <sz val="10"/>
    </font>
    <font>
      <b val="1"/>
      <color rgb="001E6B52"/>
      <sz val="10"/>
    </font>
    <font>
      <color rgb="000E7C7B"/>
      <sz val="10"/>
    </font>
  </fonts>
  <fills count="7">
    <fill>
      <patternFill/>
    </fill>
    <fill>
      <patternFill patternType="gray125"/>
    </fill>
    <fill>
      <patternFill patternType="solid">
        <fgColor rgb="001C2B45"/>
      </patternFill>
    </fill>
    <fill>
      <patternFill patternType="solid">
        <fgColor rgb="00F5F1E8"/>
      </patternFill>
    </fill>
    <fill>
      <patternFill patternType="solid">
        <fgColor rgb="00C9A227"/>
      </patternFill>
    </fill>
    <fill>
      <patternFill patternType="solid">
        <fgColor rgb="00FFFFFF"/>
      </patternFill>
    </fill>
    <fill>
      <patternFill patternType="solid">
        <fgColor rgb="000E7C7B"/>
      </patternFill>
    </fill>
  </fills>
  <borders count="4">
    <border>
      <left/>
      <right/>
      <top/>
      <bottom/>
      <diagonal/>
    </border>
    <border/>
    <border>
      <left style="thin">
        <color rgb="00D0D5DD"/>
      </left>
      <right style="thin">
        <color rgb="00D0D5DD"/>
      </right>
      <top style="thin">
        <color rgb="00D0D5DD"/>
      </top>
      <bottom style="thin">
        <color rgb="00D0D5DD"/>
      </bottom>
    </border>
    <border>
      <bottom style="thin">
        <color rgb="00D0D5DD"/>
      </bottom>
    </border>
  </borders>
  <cellStyleXfs count="1">
    <xf numFmtId="0" fontId="0" fillId="0" borderId="0"/>
  </cellStyleXfs>
  <cellXfs count="55">
    <xf numFmtId="0" fontId="0" fillId="0" borderId="0" pivotButton="0" quotePrefix="0" xfId="0"/>
    <xf numFmtId="0" fontId="0" fillId="3" borderId="0" pivotButton="0" quotePrefix="0" xfId="0"/>
    <xf numFmtId="0" fontId="2" fillId="4" borderId="0" applyAlignment="1" pivotButton="0" quotePrefix="0" xfId="0">
      <alignment horizontal="left" vertical="center" indent="1"/>
    </xf>
    <xf numFmtId="0" fontId="0" fillId="4" borderId="0" pivotButton="0" quotePrefix="0" xfId="0"/>
    <xf numFmtId="0" fontId="3" fillId="3" borderId="0" applyAlignment="1" pivotButton="0" quotePrefix="0" xfId="0">
      <alignment vertical="center"/>
    </xf>
    <xf numFmtId="0" fontId="4" fillId="3" borderId="0" pivotButton="0" quotePrefix="0" xfId="0"/>
    <xf numFmtId="0" fontId="0" fillId="2" borderId="1" pivotButton="0" quotePrefix="0" xfId="0"/>
    <xf numFmtId="0" fontId="5" fillId="5" borderId="2" applyAlignment="1" pivotButton="0" quotePrefix="0" xfId="0">
      <alignment horizontal="left" vertical="center" indent="1"/>
    </xf>
    <xf numFmtId="0" fontId="0" fillId="5" borderId="2" pivotButton="0" quotePrefix="0" xfId="0"/>
    <xf numFmtId="164" fontId="6" fillId="5" borderId="2" applyAlignment="1" pivotButton="0" quotePrefix="0" xfId="0">
      <alignment horizontal="left" vertical="center" indent="1"/>
    </xf>
    <xf numFmtId="165" fontId="6" fillId="5" borderId="2" applyAlignment="1" pivotButton="0" quotePrefix="0" xfId="0">
      <alignment horizontal="left" vertical="center" indent="1"/>
    </xf>
    <xf numFmtId="49" fontId="6" fillId="5" borderId="2" applyAlignment="1" pivotButton="0" quotePrefix="0" xfId="0">
      <alignment horizontal="left" vertical="center" indent="1"/>
    </xf>
    <xf numFmtId="0" fontId="7" fillId="3" borderId="0" applyAlignment="1" pivotButton="0" quotePrefix="0" xfId="0">
      <alignment horizontal="left" indent="1"/>
    </xf>
    <xf numFmtId="0" fontId="8" fillId="3" borderId="0" pivotButton="0" quotePrefix="0" xfId="0"/>
    <xf numFmtId="0" fontId="9" fillId="3" borderId="0" pivotButton="0" quotePrefix="0" xfId="0"/>
    <xf numFmtId="0" fontId="10" fillId="3" borderId="0" applyAlignment="1" pivotButton="0" quotePrefix="0" xfId="0">
      <alignment vertical="top" wrapText="1"/>
    </xf>
    <xf numFmtId="0" fontId="11" fillId="3" borderId="0" pivotButton="0" quotePrefix="0" xfId="0"/>
    <xf numFmtId="0" fontId="12" fillId="3" borderId="0" pivotButton="0" quotePrefix="0" xfId="0"/>
    <xf numFmtId="0" fontId="13" fillId="3" borderId="0" pivotButton="0" quotePrefix="0" xfId="0"/>
    <xf numFmtId="0" fontId="14" fillId="2" borderId="0" applyAlignment="1" pivotButton="0" quotePrefix="0" xfId="0">
      <alignment horizontal="left" vertical="center" indent="1"/>
    </xf>
    <xf numFmtId="0" fontId="0" fillId="2" borderId="0" pivotButton="0" quotePrefix="0" xfId="0"/>
    <xf numFmtId="0" fontId="15" fillId="2" borderId="0" applyAlignment="1" pivotButton="0" quotePrefix="0" xfId="0">
      <alignment horizontal="left" vertical="center" indent="1"/>
    </xf>
    <xf numFmtId="0" fontId="16" fillId="3" borderId="0" pivotButton="0" quotePrefix="0" xfId="0"/>
    <xf numFmtId="0" fontId="17" fillId="4" borderId="0" applyAlignment="1" pivotButton="0" quotePrefix="0" xfId="0">
      <alignment horizontal="center"/>
    </xf>
    <xf numFmtId="0" fontId="7" fillId="3" borderId="0" pivotButton="0" quotePrefix="0" xfId="0"/>
    <xf numFmtId="0" fontId="18" fillId="3" borderId="0" pivotButton="0" quotePrefix="0" xfId="0"/>
    <xf numFmtId="0" fontId="19" fillId="2" borderId="2" applyAlignment="1" pivotButton="0" quotePrefix="0" xfId="0">
      <alignment horizontal="center" vertical="center"/>
    </xf>
    <xf numFmtId="0" fontId="0" fillId="0" borderId="2" pivotButton="0" quotePrefix="0" xfId="0"/>
    <xf numFmtId="164" fontId="20" fillId="5" borderId="2" applyAlignment="1" pivotButton="0" quotePrefix="0" xfId="0">
      <alignment horizontal="center" vertical="center"/>
    </xf>
    <xf numFmtId="0" fontId="19" fillId="6" borderId="2" applyAlignment="1" pivotButton="0" quotePrefix="0" xfId="0">
      <alignment horizontal="center" vertical="center"/>
    </xf>
    <xf numFmtId="165" fontId="20" fillId="5" borderId="2" applyAlignment="1" pivotButton="0" quotePrefix="0" xfId="0">
      <alignment horizontal="center" vertical="center"/>
    </xf>
    <xf numFmtId="0" fontId="21" fillId="2" borderId="0" pivotButton="0" quotePrefix="0" xfId="0"/>
    <xf numFmtId="0" fontId="1" fillId="6" borderId="0" pivotButton="0" quotePrefix="0" xfId="0"/>
    <xf numFmtId="164" fontId="0" fillId="3" borderId="0" pivotButton="0" quotePrefix="0" xfId="0"/>
    <xf numFmtId="0" fontId="20" fillId="3" borderId="0" pivotButton="0" quotePrefix="0" xfId="0"/>
    <xf numFmtId="0" fontId="22" fillId="3" borderId="0" pivotButton="0" quotePrefix="0" xfId="0"/>
    <xf numFmtId="0" fontId="23" fillId="3" borderId="0" pivotButton="0" quotePrefix="0" xfId="0"/>
    <xf numFmtId="0" fontId="23" fillId="5" borderId="2" pivotButton="0" quotePrefix="0" xfId="0"/>
    <xf numFmtId="0" fontId="25" fillId="5" borderId="2" applyAlignment="1" pivotButton="0" quotePrefix="0" xfId="0">
      <alignment vertical="top" wrapText="1"/>
    </xf>
    <xf numFmtId="0" fontId="24" fillId="3" borderId="0" applyAlignment="1" pivotButton="0" quotePrefix="0" xfId="0">
      <alignment vertical="top" wrapText="1"/>
    </xf>
    <xf numFmtId="0" fontId="24" fillId="3" borderId="0" pivotButton="0" quotePrefix="0" xfId="0"/>
    <xf numFmtId="0" fontId="1" fillId="6" borderId="3" pivotButton="0" quotePrefix="0" xfId="0"/>
    <xf numFmtId="0" fontId="0" fillId="3" borderId="3" pivotButton="0" quotePrefix="0" xfId="0"/>
    <xf numFmtId="164" fontId="0" fillId="3" borderId="3" pivotButton="0" quotePrefix="0" xfId="0"/>
    <xf numFmtId="0" fontId="26" fillId="3" borderId="3" pivotButton="0" quotePrefix="0" xfId="0"/>
    <xf numFmtId="164" fontId="26" fillId="3" borderId="3" pivotButton="0" quotePrefix="0" xfId="0"/>
    <xf numFmtId="0" fontId="27" fillId="3" borderId="0" pivotButton="0" quotePrefix="0" xfId="0"/>
    <xf numFmtId="1" fontId="20" fillId="5" borderId="2" applyAlignment="1" pivotButton="0" quotePrefix="0" xfId="0">
      <alignment horizontal="center" vertical="center"/>
    </xf>
    <xf numFmtId="164" fontId="0" fillId="0" borderId="0" pivotButton="0" quotePrefix="0" xfId="0"/>
    <xf numFmtId="0" fontId="28" fillId="3" borderId="0" applyAlignment="1" pivotButton="0" quotePrefix="0" xfId="0">
      <alignment vertical="top" wrapText="1"/>
    </xf>
    <xf numFmtId="0" fontId="29" fillId="3" borderId="0" applyAlignment="1" pivotButton="0" quotePrefix="0" xfId="0">
      <alignment vertical="top" wrapText="1"/>
    </xf>
    <xf numFmtId="0" fontId="30" fillId="3" borderId="0" applyAlignment="1" pivotButton="0" quotePrefix="0" xfId="0">
      <alignment vertical="top" wrapText="1"/>
    </xf>
    <xf numFmtId="0" fontId="31" fillId="3" borderId="0" applyAlignment="1" pivotButton="0" quotePrefix="0" xfId="0">
      <alignment vertical="top" wrapText="1"/>
    </xf>
    <xf numFmtId="0" fontId="32" fillId="3" borderId="0" applyAlignment="1" pivotButton="0" quotePrefix="0" xfId="0">
      <alignment vertical="top" wrapText="1"/>
    </xf>
    <xf numFmtId="0" fontId="1" fillId="2" borderId="0" pivotButton="0" quotePrefix="0" xfId="0"/>
  </cellXfs>
  <cellStyles count="1">
    <cellStyle name="Normal" xfId="0" builtinId="0" hidden="0"/>
  </cellStyles>
  <dxfs count="1">
    <dxf>
      <font>
        <b val="1"/>
        <color rgb="00B3261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10"/>
  <chart>
    <title>
      <tx>
        <rich>
          <a:bodyPr/>
          <a:p>
            <a:pPr>
              <a:defRPr/>
            </a:pPr>
            <a:r>
              <a:t>Category Breakdown — Selected Entity &amp; Year</a:t>
            </a:r>
          </a:p>
        </rich>
      </tx>
    </title>
    <plotArea>
      <barChart>
        <barDir val="bar"/>
        <grouping val="clustered"/>
        <ser>
          <idx val="0"/>
          <order val="0"/>
          <tx>
            <strRef>
              <f>'02 Profitability'!C20</f>
            </strRef>
          </tx>
          <spPr>
            <a:ln>
              <a:prstDash val="solid"/>
            </a:ln>
          </spPr>
          <cat>
            <numRef>
              <f>'02 Profitability'!$B$21:$B$33</f>
            </numRef>
          </cat>
          <val>
            <numRef>
              <f>'02 Profitability'!$C$21:$C$33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SBD Allocation — Associated Group (current year)</a:t>
            </a:r>
          </a:p>
        </rich>
      </tx>
    </title>
    <plotArea>
      <barChart>
        <barDir val="bar"/>
        <grouping val="clustered"/>
        <ser>
          <idx val="0"/>
          <order val="0"/>
          <tx>
            <strRef>
              <f>'03 Tax Position'!E25</f>
            </strRef>
          </tx>
          <spPr>
            <a:ln>
              <a:prstDash val="solid"/>
            </a:ln>
          </spPr>
          <cat>
            <numRef>
              <f>'03 Tax Position'!$B$26:$B$39</f>
            </numRef>
          </cat>
          <val>
            <numRef>
              <f>'03 Tax Position'!$E$26:$E$39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2"/>
  <chart>
    <title>
      <tx>
        <rich>
          <a:bodyPr/>
          <a:p>
            <a:pPr>
              <a:defRPr/>
            </a:pPr>
            <a:r>
              <a:t>Revenue vs Net Income by Entity</a:t>
            </a:r>
          </a:p>
        </rich>
      </tx>
    </title>
    <plotArea>
      <barChart>
        <barDir val="col"/>
        <grouping val="clustered"/>
        <ser>
          <idx val="0"/>
          <order val="0"/>
          <tx>
            <strRef>
              <f>'Group Summary'!C16</f>
            </strRef>
          </tx>
          <spPr>
            <a:ln>
              <a:prstDash val="solid"/>
            </a:ln>
          </spPr>
          <cat>
            <numRef>
              <f>'Group Summary'!$B$17:$B$32</f>
            </numRef>
          </cat>
          <val>
            <numRef>
              <f>'Group Summary'!$C$17:$C$32</f>
            </numRef>
          </val>
        </ser>
        <ser>
          <idx val="1"/>
          <order val="1"/>
          <tx>
            <strRef>
              <f>'Group Summary'!D16</f>
            </strRef>
          </tx>
          <spPr>
            <a:ln>
              <a:prstDash val="solid"/>
            </a:ln>
          </spPr>
          <cat>
            <numRef>
              <f>'Group Summary'!$B$17:$B$32</f>
            </numRef>
          </cat>
          <val>
            <numRef>
              <f>'Group Summary'!$D$17:$D$32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19</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24</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14</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EntityRegister" displayName="EntityRegister" ref="A4:K20" headerRowCount="1">
  <autoFilter ref="A4:K20"/>
  <tableColumns count="11">
    <tableColumn id="1" name="EntityName"/>
    <tableColumn id="2" name="Segment"/>
    <tableColumn id="3" name="Revenue"/>
    <tableColumn id="4" name="COGS"/>
    <tableColumn id="5" name="Payroll"/>
    <tableColumn id="6" name="Occupancy"/>
    <tableColumn id="7" name="Interest &amp; Financing"/>
    <tableColumn id="8" name="Amortization"/>
    <tableColumn id="9" name="Income Tax"/>
    <tableColumn id="10" name="EBITDA"/>
    <tableColumn id="11" name="Net Income"/>
  </tableColumns>
  <tableStyleInfo name="TableStyleMedium9" showRowStripes="1"/>
</table>
</file>

<file path=xl/tables/table2.xml><?xml version="1.0" encoding="utf-8"?>
<table xmlns="http://schemas.openxmlformats.org/spreadsheetml/2006/main" id="2" name="Dim_Entity" displayName="Dim_Entity" ref="A1:C17" headerRowCount="1">
  <autoFilter ref="A1:C17"/>
  <tableColumns count="3">
    <tableColumn id="1" name="EntityId"/>
    <tableColumn id="2" name="EntityName"/>
    <tableColumn id="3" name="Segment"/>
  </tableColumns>
  <tableStyleInfo name="TableStyleMedium2" showRowStripes="1"/>
</table>
</file>

<file path=xl/tables/table3.xml><?xml version="1.0" encoding="utf-8"?>
<table xmlns="http://schemas.openxmlformats.org/spreadsheetml/2006/main" id="3" name="Dim_Calendar" displayName="Dim_Calendar" ref="A1:C4" headerRowCount="1">
  <autoFilter ref="A1:C4"/>
  <tableColumns count="3">
    <tableColumn id="1" name="FiscalYear"/>
    <tableColumn id="2" name="YearEnd"/>
    <tableColumn id="3" name="YearLabel"/>
  </tableColumns>
  <tableStyleInfo name="TableStyleMedium2" showRowStripes="1"/>
</table>
</file>

<file path=xl/tables/table4.xml><?xml version="1.0" encoding="utf-8"?>
<table xmlns="http://schemas.openxmlformats.org/spreadsheetml/2006/main" id="4" name="Fact_TrialBalance" displayName="Fact_TrialBalance" ref="A1:D326" headerRowCount="1">
  <autoFilter ref="A1:D326"/>
  <tableColumns count="4">
    <tableColumn id="1" name="EntityId"/>
    <tableColumn id="2" name="Category"/>
    <tableColumn id="3" name="FiscalYear"/>
    <tableColumn id="4" name="Amou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C9A227"/>
    <outlinePr summaryBelow="1" summaryRight="1"/>
    <pageSetUpPr fitToPage="1"/>
  </sheetPr>
  <dimension ref="A1:M60"/>
  <sheetViews>
    <sheetView showGridLines="0" workbookViewId="0">
      <selection activeCell="A1" sqref="A1"/>
    </sheetView>
  </sheetViews>
  <sheetFormatPr baseColWidth="8" defaultRowHeight="15"/>
  <cols>
    <col width="3" customWidth="1" min="1" max="1"/>
    <col width="15" customWidth="1" min="2" max="2"/>
    <col width="15" customWidth="1" min="3" max="3"/>
    <col width="15" customWidth="1" min="4" max="4"/>
    <col width="15" customWidth="1" min="5" max="5"/>
    <col width="3" customWidth="1" min="6" max="6"/>
    <col width="15" customWidth="1" min="7" max="7"/>
    <col width="15" customWidth="1" min="8" max="8"/>
    <col width="15" customWidth="1" min="9" max="9"/>
    <col width="3" customWidth="1" min="10" max="10"/>
    <col width="15" customWidth="1" min="11" max="11"/>
    <col width="15" customWidth="1" min="12" max="12"/>
  </cols>
  <sheetData>
    <row r="1">
      <c r="A1" s="1" t="n"/>
      <c r="B1" s="1" t="n"/>
      <c r="C1" s="1" t="n"/>
      <c r="D1" s="1" t="n"/>
      <c r="E1" s="1" t="n"/>
      <c r="F1" s="1" t="n"/>
      <c r="G1" s="1" t="n"/>
      <c r="H1" s="1" t="n"/>
      <c r="I1" s="1" t="n"/>
      <c r="J1" s="1" t="n"/>
      <c r="K1" s="1" t="n"/>
      <c r="L1" s="1" t="n"/>
      <c r="M1" s="1" t="n"/>
    </row>
    <row r="2">
      <c r="A2" s="1" t="n"/>
      <c r="B2" s="2" t="inlineStr">
        <is>
          <t>DRAFT MANAGEMENT REPORT — 16/18 ENTITIES REBUILT FROM SOURCE  ·  3-YEAR P&amp;L, ALL VALIDATED TO THE PENNY</t>
        </is>
      </c>
      <c r="C2" s="3" t="n"/>
      <c r="D2" s="3" t="n"/>
      <c r="E2" s="3" t="n"/>
      <c r="F2" s="3" t="n"/>
      <c r="G2" s="3" t="n"/>
      <c r="H2" s="3" t="n"/>
      <c r="I2" s="3" t="n"/>
      <c r="J2" s="3" t="n"/>
      <c r="K2" s="1" t="n"/>
      <c r="L2" s="1" t="n"/>
      <c r="M2" s="1" t="n"/>
    </row>
    <row r="3">
      <c r="A3" s="1" t="n"/>
      <c r="B3" s="1" t="n"/>
      <c r="C3" s="1" t="n"/>
      <c r="D3" s="1" t="n"/>
      <c r="E3" s="1" t="n"/>
      <c r="F3" s="1" t="n"/>
      <c r="G3" s="1" t="n"/>
      <c r="H3" s="1" t="n"/>
      <c r="I3" s="1" t="n"/>
      <c r="J3" s="1" t="n"/>
      <c r="K3" s="1" t="n"/>
      <c r="L3" s="1" t="n"/>
      <c r="M3" s="1" t="n"/>
    </row>
    <row r="4">
      <c r="A4" s="1" t="n"/>
      <c r="B4" s="4" t="inlineStr">
        <is>
          <t>Sandhu Group — Consolidated Performance Report</t>
        </is>
      </c>
      <c r="M4" s="1" t="n"/>
    </row>
    <row r="5">
      <c r="A5" s="1" t="n"/>
      <c r="M5" s="1" t="n"/>
    </row>
    <row r="6">
      <c r="A6" s="1" t="n"/>
      <c r="B6" s="5" t="inlineStr">
        <is>
          <t>16 entities modeled, FY2023–FY2025 · Restaurant OpCos, RealCos, HoldCos · FY ended March 31 · Prepared for group management review</t>
        </is>
      </c>
      <c r="M6" s="1" t="n"/>
    </row>
    <row r="7">
      <c r="A7" s="1" t="n"/>
      <c r="B7" s="1" t="n"/>
      <c r="C7" s="1" t="n"/>
      <c r="D7" s="1" t="n"/>
      <c r="E7" s="1" t="n"/>
      <c r="F7" s="1" t="n"/>
      <c r="G7" s="1" t="n"/>
      <c r="H7" s="1" t="n"/>
      <c r="I7" s="1" t="n"/>
      <c r="J7" s="1" t="n"/>
      <c r="K7" s="1" t="n"/>
      <c r="L7" s="1" t="n"/>
      <c r="M7" s="1" t="n"/>
    </row>
    <row r="8" ht="4" customHeight="1">
      <c r="A8" s="1" t="n"/>
      <c r="B8" s="1" t="n"/>
      <c r="C8" s="1" t="n"/>
      <c r="D8" s="1" t="n"/>
      <c r="E8" s="1" t="n"/>
      <c r="F8" s="1" t="n"/>
      <c r="G8" s="1" t="n"/>
      <c r="H8" s="1" t="n"/>
      <c r="I8" s="1" t="n"/>
      <c r="J8" s="1" t="n"/>
      <c r="K8" s="1" t="n"/>
      <c r="L8" s="1" t="n"/>
      <c r="M8" s="1" t="n"/>
    </row>
    <row r="9" ht="2" customHeight="1">
      <c r="A9" s="1" t="n"/>
      <c r="B9" s="6" t="n"/>
      <c r="C9" s="6" t="n"/>
      <c r="D9" s="6" t="n"/>
      <c r="E9" s="6" t="n"/>
      <c r="F9" s="6" t="n"/>
      <c r="G9" s="6" t="n"/>
      <c r="H9" s="6" t="n"/>
      <c r="I9" s="6" t="n"/>
      <c r="J9" s="6" t="n"/>
      <c r="K9" s="6" t="n"/>
      <c r="L9" s="6" t="n"/>
      <c r="M9" s="1" t="n"/>
    </row>
    <row r="10">
      <c r="A10" s="1" t="n"/>
      <c r="B10" s="1" t="n"/>
      <c r="C10" s="1" t="n"/>
      <c r="D10" s="1" t="n"/>
      <c r="E10" s="1" t="n"/>
      <c r="F10" s="1" t="n"/>
      <c r="G10" s="1" t="n"/>
      <c r="H10" s="1" t="n"/>
      <c r="I10" s="1" t="n"/>
      <c r="J10" s="1" t="n"/>
      <c r="K10" s="1" t="n"/>
      <c r="L10" s="1" t="n"/>
      <c r="M10" s="1" t="n"/>
    </row>
    <row r="11">
      <c r="A11" s="1" t="n"/>
      <c r="B11" s="7" t="inlineStr">
        <is>
          <t>GROUP REVENUE</t>
        </is>
      </c>
      <c r="C11" s="8" t="n"/>
      <c r="D11" s="7" t="inlineStr">
        <is>
          <t>GROUP EBITDA</t>
        </is>
      </c>
      <c r="E11" s="8" t="n"/>
      <c r="F11" s="7" t="inlineStr">
        <is>
          <t>GROUP NET INCOME</t>
        </is>
      </c>
      <c r="G11" s="8" t="n"/>
      <c r="H11" s="7" t="inlineStr">
        <is>
          <t>EFF. TAX RATE</t>
        </is>
      </c>
      <c r="I11" s="8" t="n"/>
      <c r="J11" s="7" t="inlineStr">
        <is>
          <t>LOSS ENTITIES</t>
        </is>
      </c>
      <c r="K11" s="8" t="n"/>
      <c r="L11" s="1" t="n"/>
      <c r="M11" s="1" t="n"/>
    </row>
    <row r="12">
      <c r="A12" s="1" t="n"/>
      <c r="B12" s="9">
        <f>SUM('Entity Register'!C5:C20)</f>
        <v/>
      </c>
      <c r="C12" s="8" t="n"/>
      <c r="D12" s="9">
        <f>SUM('Entity Register'!J5:J20)</f>
        <v/>
      </c>
      <c r="E12" s="8" t="n"/>
      <c r="F12" s="9">
        <f>SUM('Entity Register'!K5:K20)</f>
        <v/>
      </c>
      <c r="G12" s="8" t="n"/>
      <c r="H12" s="10">
        <f>IFERROR(SUM('Entity Register'!I5:I20)/(SUM('Entity Register'!K5:K20)+SUM('Entity Register'!I5:I20)),0)</f>
        <v/>
      </c>
      <c r="I12" s="8" t="n"/>
      <c r="J12" s="11">
        <f>COUNTIF('Entity Register'!K5:K20,"&lt;0")&amp;" / "&amp;COUNTA('Entity Register'!A5:A20)</f>
        <v/>
      </c>
      <c r="K12" s="8" t="n"/>
      <c r="L12" s="1" t="n"/>
      <c r="M12" s="1" t="n"/>
    </row>
    <row r="13">
      <c r="A13" s="1" t="n"/>
      <c r="B13" s="8" t="n"/>
      <c r="C13" s="8" t="n"/>
      <c r="D13" s="8" t="n"/>
      <c r="E13" s="8" t="n"/>
      <c r="F13" s="8" t="n"/>
      <c r="G13" s="8" t="n"/>
      <c r="H13" s="8" t="n"/>
      <c r="I13" s="8" t="n"/>
      <c r="J13" s="8" t="n"/>
      <c r="K13" s="8" t="n"/>
      <c r="L13" s="1" t="n"/>
      <c r="M13" s="1" t="n"/>
    </row>
    <row r="14">
      <c r="A14" s="1" t="n"/>
      <c r="B14" s="12" t="inlineStr">
        <is>
          <t>FY2025</t>
        </is>
      </c>
      <c r="D14" s="12" t="inlineStr">
        <is>
          <t>FY2025</t>
        </is>
      </c>
      <c r="F14" s="12" t="inlineStr">
        <is>
          <t>FY2025</t>
        </is>
      </c>
      <c r="H14" s="1" t="n"/>
      <c r="I14" s="1" t="n"/>
      <c r="J14" s="1" t="n"/>
      <c r="K14" s="1" t="n"/>
      <c r="L14" s="1" t="n"/>
      <c r="M14" s="1" t="n"/>
    </row>
    <row r="15">
      <c r="A15" s="1" t="n"/>
      <c r="B15" s="1" t="n"/>
      <c r="C15" s="1" t="n"/>
      <c r="D15" s="1" t="n"/>
      <c r="E15" s="1" t="n"/>
      <c r="F15" s="1" t="n"/>
      <c r="G15" s="1" t="n"/>
      <c r="H15" s="1" t="n"/>
      <c r="I15" s="1" t="n"/>
      <c r="J15" s="1" t="n"/>
      <c r="K15" s="1" t="n"/>
      <c r="L15" s="1" t="n"/>
      <c r="M15" s="1" t="n"/>
    </row>
    <row r="16">
      <c r="A16" s="1" t="n"/>
      <c r="B16" s="1" t="n"/>
      <c r="C16" s="1" t="n"/>
      <c r="D16" s="1" t="n"/>
      <c r="E16" s="1" t="n"/>
      <c r="F16" s="1" t="n"/>
      <c r="G16" s="1" t="n"/>
      <c r="H16" s="1" t="n"/>
      <c r="I16" s="1" t="n"/>
      <c r="J16" s="1" t="n"/>
      <c r="K16" s="1" t="n"/>
      <c r="L16" s="1" t="n"/>
      <c r="M16" s="1" t="n"/>
    </row>
    <row r="17">
      <c r="A17" s="1" t="n"/>
      <c r="B17" s="13" t="inlineStr">
        <is>
          <t>Data confidence</t>
        </is>
      </c>
      <c r="M17" s="1" t="n"/>
    </row>
    <row r="18" ht="26" customHeight="1">
      <c r="A18" s="1" t="n"/>
      <c r="B18" s="14" t="inlineStr">
        <is>
          <t>●</t>
        </is>
      </c>
      <c r="C18" s="15" t="inlineStr">
        <is>
          <t>P&amp;L, 16/18 entities — every entity rebuilt fresh from its raw CaseWare WTB (FY2023–FY2025) and independently cross-validated: FY2025 Net Income matches the project's Validation Log exactly for all 16, to the penny.</t>
        </is>
      </c>
      <c r="M18" s="1" t="n"/>
    </row>
    <row r="19" ht="26" customHeight="1">
      <c r="A19" s="1" t="n"/>
      <c r="B19" s="16" t="inlineStr">
        <is>
          <t>●</t>
        </is>
      </c>
      <c r="C19" s="15" t="inlineStr">
        <is>
          <t>Restaurant IndiaRosa 2 — additionally cross-checked against its Corporate Taxprep export: Income Tax and FY2024 Net Income both match the WTB exactly.</t>
        </is>
      </c>
      <c r="M19" s="1" t="n"/>
    </row>
    <row r="20" ht="26" customHeight="1">
      <c r="A20" s="1" t="n"/>
      <c r="B20" s="16" t="inlineStr">
        <is>
          <t>●</t>
        </is>
      </c>
      <c r="C20" s="15" t="inlineStr">
        <is>
          <t>Associated-group SBD &amp; GRIP (14 entities) — real, from IndiaRosa 2's Taxprep SLIPA schedule. Excludes IndiaRosa 2's own SBD (not found in this export).</t>
        </is>
      </c>
      <c r="M20" s="1" t="n"/>
    </row>
    <row r="21" ht="26" customHeight="1">
      <c r="A21" s="1" t="n"/>
      <c r="B21" s="17" t="inlineStr">
        <is>
          <t>●</t>
        </is>
      </c>
      <c r="C21" s="15" t="inlineStr">
        <is>
          <t>RDTOH &amp; CDA — confirmed NOT present in the Taxprep export tested (see 03 Tax Position).</t>
        </is>
      </c>
      <c r="M21" s="1" t="n"/>
    </row>
    <row r="22" ht="26" customHeight="1">
      <c r="A22" s="1" t="n"/>
      <c r="B22" s="17" t="inlineStr">
        <is>
          <t>●</t>
        </is>
      </c>
      <c r="C22" s="15" t="inlineStr">
        <is>
          <t>Both family trusts (~$4–$10/yr activity per the handoff) and one unexpected entity found in the Taxprep data (9475-3381 Québec Inc., no WTB supplied) — not yet modeled.</t>
        </is>
      </c>
      <c r="M22" s="1" t="n"/>
    </row>
    <row r="23" ht="26" customHeight="1">
      <c r="A23" s="1" t="n"/>
      <c r="B23" s="17" t="inlineStr">
        <is>
          <t>●</t>
        </is>
      </c>
      <c r="C23" s="15" t="inlineStr">
        <is>
          <t>Group-level Revenue/EBITDA are within ~0.5% of the Section 6 benchmark despite every entity's own Net Income matching exactly — a small residual category-boundary difference likely remains in 1–2 entities (see Notes &amp; Validation).</t>
        </is>
      </c>
      <c r="M23" s="1" t="n"/>
    </row>
    <row r="24" ht="26" customHeight="1">
      <c r="A24" s="1" t="n"/>
      <c r="B24" s="17" t="inlineStr">
        <is>
          <t>●</t>
        </is>
      </c>
      <c r="C24" s="15" t="inlineStr">
        <is>
          <t>Balance sheets / consolidated net worth — not available; the WTB export is income-statement only.</t>
        </is>
      </c>
      <c r="M24" s="1" t="n"/>
    </row>
    <row r="25">
      <c r="A25" s="1" t="n"/>
      <c r="B25" s="1" t="n"/>
      <c r="C25" s="1" t="n"/>
      <c r="D25" s="1" t="n"/>
      <c r="E25" s="1" t="n"/>
      <c r="F25" s="1" t="n"/>
      <c r="G25" s="1" t="n"/>
      <c r="H25" s="1" t="n"/>
      <c r="I25" s="1" t="n"/>
      <c r="J25" s="1" t="n"/>
      <c r="K25" s="1" t="n"/>
      <c r="L25" s="1" t="n"/>
      <c r="M25" s="1" t="n"/>
    </row>
    <row r="26">
      <c r="A26" s="1" t="n"/>
      <c r="B26" s="13" t="inlineStr">
        <is>
          <t>Restaurant IndiaRosa 2 — 3-year trend (real, FY2023→FY2025)</t>
        </is>
      </c>
      <c r="M26" s="1" t="n"/>
    </row>
    <row r="27">
      <c r="A27" s="1" t="n"/>
      <c r="B27" s="18" t="inlineStr">
        <is>
          <t>Revenue: $1,331,425 (FY2023) → $5,213,629 (FY2025)   |   Net Income: $213,033 → $462,895</t>
        </is>
      </c>
      <c r="M27" s="1" t="n"/>
    </row>
    <row r="28">
      <c r="A28" s="1" t="n"/>
      <c r="B28" s="1" t="n"/>
      <c r="C28" s="1" t="n"/>
      <c r="D28" s="1" t="n"/>
      <c r="E28" s="1" t="n"/>
      <c r="F28" s="1" t="n"/>
      <c r="G28" s="1" t="n"/>
      <c r="H28" s="1" t="n"/>
      <c r="I28" s="1" t="n"/>
      <c r="J28" s="1" t="n"/>
      <c r="K28" s="1" t="n"/>
      <c r="L28" s="1" t="n"/>
      <c r="M28" s="1" t="n"/>
    </row>
    <row r="29">
      <c r="A29" s="1" t="n"/>
      <c r="B29" s="13" t="inlineStr">
        <is>
          <t>Group-wide, 16 entities — 3-year trend (real, FY2023→FY2025)</t>
        </is>
      </c>
      <c r="M29" s="1" t="n"/>
    </row>
    <row r="30">
      <c r="A30" s="1" t="n"/>
      <c r="B30" s="18">
        <f>"Revenue: $"&amp;TEXT(-SUMIFS(Fact_TrialBalance[Amount],Fact_TrialBalance[Category],"Operating Revenue",Fact_TrialBalance[FiscalYear],"FY2023"),"#,##0")&amp;" (FY2023) → $"&amp;TEXT(-SUMIFS(Fact_TrialBalance[Amount],Fact_TrialBalance[Category],"Operating Revenue",Fact_TrialBalance[FiscalYear],"FY2025"),"#,##0")&amp;" (FY2025)   |   Net Income: $"&amp;TEXT(-SUMIFS(Fact_TrialBalance[Amount],Fact_TrialBalance[FiscalYear],"FY2023"),"#,##0")&amp;" → $"&amp;TEXT(-SUMIFS(Fact_TrialBalance[Amount],Fact_TrialBalance[FiscalYear],"FY2025"),"#,##0")</f>
        <v/>
      </c>
      <c r="M30" s="1" t="n"/>
    </row>
    <row r="31">
      <c r="A31" s="1" t="n"/>
      <c r="B31" s="1" t="n"/>
      <c r="C31" s="1" t="n"/>
      <c r="D31" s="1" t="n"/>
      <c r="E31" s="1" t="n"/>
      <c r="F31" s="1" t="n"/>
      <c r="G31" s="1" t="n"/>
      <c r="H31" s="1" t="n"/>
      <c r="I31" s="1" t="n"/>
      <c r="J31" s="1" t="n"/>
      <c r="K31" s="1" t="n"/>
      <c r="L31" s="1" t="n"/>
      <c r="M31" s="1" t="n"/>
    </row>
    <row r="32">
      <c r="A32" s="1" t="n"/>
      <c r="B32" s="1" t="n"/>
      <c r="C32" s="1" t="n"/>
      <c r="D32" s="1" t="n"/>
      <c r="E32" s="1" t="n"/>
      <c r="F32" s="1" t="n"/>
      <c r="G32" s="1" t="n"/>
      <c r="H32" s="1" t="n"/>
      <c r="I32" s="1" t="n"/>
      <c r="J32" s="1" t="n"/>
      <c r="K32" s="1" t="n"/>
      <c r="L32" s="1" t="n"/>
      <c r="M32" s="1" t="n"/>
    </row>
    <row r="33">
      <c r="A33" s="1" t="n"/>
      <c r="B33" s="1" t="n"/>
      <c r="C33" s="1" t="n"/>
      <c r="D33" s="1" t="n"/>
      <c r="E33" s="1" t="n"/>
      <c r="F33" s="1" t="n"/>
      <c r="G33" s="1" t="n"/>
      <c r="H33" s="1" t="n"/>
      <c r="I33" s="1" t="n"/>
      <c r="J33" s="1" t="n"/>
      <c r="K33" s="1" t="n"/>
      <c r="L33" s="1" t="n"/>
      <c r="M33" s="1" t="n"/>
    </row>
    <row r="34">
      <c r="A34" s="1" t="n"/>
      <c r="B34" s="1" t="n"/>
      <c r="C34" s="1" t="n"/>
      <c r="D34" s="1" t="n"/>
      <c r="E34" s="1" t="n"/>
      <c r="F34" s="1" t="n"/>
      <c r="G34" s="1" t="n"/>
      <c r="H34" s="1" t="n"/>
      <c r="I34" s="1" t="n"/>
      <c r="J34" s="1" t="n"/>
      <c r="K34" s="1" t="n"/>
      <c r="L34" s="1" t="n"/>
      <c r="M34" s="1" t="n"/>
    </row>
    <row r="35">
      <c r="A35" s="1" t="n"/>
      <c r="B35" s="1" t="n"/>
      <c r="C35" s="1" t="n"/>
      <c r="D35" s="1" t="n"/>
      <c r="E35" s="1" t="n"/>
      <c r="F35" s="1" t="n"/>
      <c r="G35" s="1" t="n"/>
      <c r="H35" s="1" t="n"/>
      <c r="I35" s="1" t="n"/>
      <c r="J35" s="1" t="n"/>
      <c r="K35" s="1" t="n"/>
      <c r="L35" s="1" t="n"/>
      <c r="M35" s="1" t="n"/>
    </row>
    <row r="36">
      <c r="A36" s="1" t="n"/>
      <c r="B36" s="1" t="n"/>
      <c r="C36" s="1" t="n"/>
      <c r="D36" s="1" t="n"/>
      <c r="E36" s="1" t="n"/>
      <c r="F36" s="1" t="n"/>
      <c r="G36" s="1" t="n"/>
      <c r="H36" s="1" t="n"/>
      <c r="I36" s="1" t="n"/>
      <c r="J36" s="1" t="n"/>
      <c r="K36" s="1" t="n"/>
      <c r="L36" s="1" t="n"/>
      <c r="M36" s="1" t="n"/>
    </row>
    <row r="37">
      <c r="A37" s="1" t="n"/>
      <c r="B37" s="1" t="n"/>
      <c r="C37" s="1" t="n"/>
      <c r="D37" s="1" t="n"/>
      <c r="E37" s="1" t="n"/>
      <c r="F37" s="1" t="n"/>
      <c r="G37" s="1" t="n"/>
      <c r="H37" s="1" t="n"/>
      <c r="I37" s="1" t="n"/>
      <c r="J37" s="1" t="n"/>
      <c r="K37" s="1" t="n"/>
      <c r="L37" s="1" t="n"/>
      <c r="M37" s="1" t="n"/>
    </row>
    <row r="38">
      <c r="A38" s="1" t="n"/>
      <c r="B38" s="1" t="n"/>
      <c r="C38" s="1" t="n"/>
      <c r="D38" s="1" t="n"/>
      <c r="E38" s="1" t="n"/>
      <c r="F38" s="1" t="n"/>
      <c r="G38" s="1" t="n"/>
      <c r="H38" s="1" t="n"/>
      <c r="I38" s="1" t="n"/>
      <c r="J38" s="1" t="n"/>
      <c r="K38" s="1" t="n"/>
      <c r="L38" s="1" t="n"/>
      <c r="M38" s="1" t="n"/>
    </row>
    <row r="39">
      <c r="A39" s="1" t="n"/>
      <c r="B39" s="1" t="n"/>
      <c r="C39" s="1" t="n"/>
      <c r="D39" s="1" t="n"/>
      <c r="E39" s="1" t="n"/>
      <c r="F39" s="1" t="n"/>
      <c r="G39" s="1" t="n"/>
      <c r="H39" s="1" t="n"/>
      <c r="I39" s="1" t="n"/>
      <c r="J39" s="1" t="n"/>
      <c r="K39" s="1" t="n"/>
      <c r="L39" s="1" t="n"/>
      <c r="M39" s="1" t="n"/>
    </row>
    <row r="40">
      <c r="A40" s="1" t="n"/>
      <c r="B40" s="1" t="n"/>
      <c r="C40" s="1" t="n"/>
      <c r="D40" s="1" t="n"/>
      <c r="E40" s="1" t="n"/>
      <c r="F40" s="1" t="n"/>
      <c r="G40" s="1" t="n"/>
      <c r="H40" s="1" t="n"/>
      <c r="I40" s="1" t="n"/>
      <c r="J40" s="1" t="n"/>
      <c r="K40" s="1" t="n"/>
      <c r="L40" s="1" t="n"/>
      <c r="M40" s="1" t="n"/>
    </row>
    <row r="41">
      <c r="A41" s="1" t="n"/>
      <c r="B41" s="1" t="n"/>
      <c r="C41" s="1" t="n"/>
      <c r="D41" s="1" t="n"/>
      <c r="E41" s="1" t="n"/>
      <c r="F41" s="1" t="n"/>
      <c r="G41" s="1" t="n"/>
      <c r="H41" s="1" t="n"/>
      <c r="I41" s="1" t="n"/>
      <c r="J41" s="1" t="n"/>
      <c r="K41" s="1" t="n"/>
      <c r="L41" s="1" t="n"/>
      <c r="M41" s="1" t="n"/>
    </row>
    <row r="42">
      <c r="A42" s="1" t="n"/>
      <c r="B42" s="1" t="n"/>
      <c r="C42" s="1" t="n"/>
      <c r="D42" s="1" t="n"/>
      <c r="E42" s="1" t="n"/>
      <c r="F42" s="1" t="n"/>
      <c r="G42" s="1" t="n"/>
      <c r="H42" s="1" t="n"/>
      <c r="I42" s="1" t="n"/>
      <c r="J42" s="1" t="n"/>
      <c r="K42" s="1" t="n"/>
      <c r="L42" s="1" t="n"/>
      <c r="M42" s="1" t="n"/>
    </row>
    <row r="43">
      <c r="A43" s="1" t="n"/>
      <c r="B43" s="1" t="n"/>
      <c r="C43" s="1" t="n"/>
      <c r="D43" s="1" t="n"/>
      <c r="E43" s="1" t="n"/>
      <c r="F43" s="1" t="n"/>
      <c r="G43" s="1" t="n"/>
      <c r="H43" s="1" t="n"/>
      <c r="I43" s="1" t="n"/>
      <c r="J43" s="1" t="n"/>
      <c r="K43" s="1" t="n"/>
      <c r="L43" s="1" t="n"/>
      <c r="M43" s="1" t="n"/>
    </row>
    <row r="44">
      <c r="A44" s="1" t="n"/>
      <c r="B44" s="1" t="n"/>
      <c r="C44" s="1" t="n"/>
      <c r="D44" s="1" t="n"/>
      <c r="E44" s="1" t="n"/>
      <c r="F44" s="1" t="n"/>
      <c r="G44" s="1" t="n"/>
      <c r="H44" s="1" t="n"/>
      <c r="I44" s="1" t="n"/>
      <c r="J44" s="1" t="n"/>
      <c r="K44" s="1" t="n"/>
      <c r="L44" s="1" t="n"/>
      <c r="M44" s="1" t="n"/>
    </row>
    <row r="45">
      <c r="A45" s="1" t="n"/>
      <c r="B45" s="1" t="n"/>
      <c r="C45" s="1" t="n"/>
      <c r="D45" s="1" t="n"/>
      <c r="E45" s="1" t="n"/>
      <c r="F45" s="1" t="n"/>
      <c r="G45" s="1" t="n"/>
      <c r="H45" s="1" t="n"/>
      <c r="I45" s="1" t="n"/>
      <c r="J45" s="1" t="n"/>
      <c r="K45" s="1" t="n"/>
      <c r="L45" s="1" t="n"/>
      <c r="M45" s="1" t="n"/>
    </row>
    <row r="46">
      <c r="A46" s="1" t="n"/>
      <c r="B46" s="1" t="n"/>
      <c r="C46" s="1" t="n"/>
      <c r="D46" s="1" t="n"/>
      <c r="E46" s="1" t="n"/>
      <c r="F46" s="1" t="n"/>
      <c r="G46" s="1" t="n"/>
      <c r="H46" s="1" t="n"/>
      <c r="I46" s="1" t="n"/>
      <c r="J46" s="1" t="n"/>
      <c r="K46" s="1" t="n"/>
      <c r="L46" s="1" t="n"/>
      <c r="M46" s="1" t="n"/>
    </row>
    <row r="47">
      <c r="A47" s="1" t="n"/>
      <c r="B47" s="1" t="n"/>
      <c r="C47" s="1" t="n"/>
      <c r="D47" s="1" t="n"/>
      <c r="E47" s="1" t="n"/>
      <c r="F47" s="1" t="n"/>
      <c r="G47" s="1" t="n"/>
      <c r="H47" s="1" t="n"/>
      <c r="I47" s="1" t="n"/>
      <c r="J47" s="1" t="n"/>
      <c r="K47" s="1" t="n"/>
      <c r="L47" s="1" t="n"/>
      <c r="M47" s="1" t="n"/>
    </row>
    <row r="48">
      <c r="A48" s="1" t="n"/>
      <c r="B48" s="1" t="n"/>
      <c r="C48" s="1" t="n"/>
      <c r="D48" s="1" t="n"/>
      <c r="E48" s="1" t="n"/>
      <c r="F48" s="1" t="n"/>
      <c r="G48" s="1" t="n"/>
      <c r="H48" s="1" t="n"/>
      <c r="I48" s="1" t="n"/>
      <c r="J48" s="1" t="n"/>
      <c r="K48" s="1" t="n"/>
      <c r="L48" s="1" t="n"/>
      <c r="M48" s="1" t="n"/>
    </row>
    <row r="49">
      <c r="A49" s="1" t="n"/>
      <c r="B49" s="1" t="n"/>
      <c r="C49" s="1" t="n"/>
      <c r="D49" s="1" t="n"/>
      <c r="E49" s="1" t="n"/>
      <c r="F49" s="1" t="n"/>
      <c r="G49" s="1" t="n"/>
      <c r="H49" s="1" t="n"/>
      <c r="I49" s="1" t="n"/>
      <c r="J49" s="1" t="n"/>
      <c r="K49" s="1" t="n"/>
      <c r="L49" s="1" t="n"/>
      <c r="M49" s="1" t="n"/>
    </row>
    <row r="50">
      <c r="A50" s="1" t="n"/>
      <c r="B50" s="1" t="n"/>
      <c r="C50" s="1" t="n"/>
      <c r="D50" s="1" t="n"/>
      <c r="E50" s="1" t="n"/>
      <c r="F50" s="1" t="n"/>
      <c r="G50" s="1" t="n"/>
      <c r="H50" s="1" t="n"/>
      <c r="I50" s="1" t="n"/>
      <c r="J50" s="1" t="n"/>
      <c r="K50" s="1" t="n"/>
      <c r="L50" s="1" t="n"/>
      <c r="M50" s="1" t="n"/>
    </row>
    <row r="51">
      <c r="A51" s="1" t="n"/>
      <c r="B51" s="1" t="n"/>
      <c r="C51" s="1" t="n"/>
      <c r="D51" s="1" t="n"/>
      <c r="E51" s="1" t="n"/>
      <c r="F51" s="1" t="n"/>
      <c r="G51" s="1" t="n"/>
      <c r="H51" s="1" t="n"/>
      <c r="I51" s="1" t="n"/>
      <c r="J51" s="1" t="n"/>
      <c r="K51" s="1" t="n"/>
      <c r="L51" s="1" t="n"/>
      <c r="M51" s="1" t="n"/>
    </row>
    <row r="52">
      <c r="A52" s="1" t="n"/>
      <c r="B52" s="1" t="n"/>
      <c r="C52" s="1" t="n"/>
      <c r="D52" s="1" t="n"/>
      <c r="E52" s="1" t="n"/>
      <c r="F52" s="1" t="n"/>
      <c r="G52" s="1" t="n"/>
      <c r="H52" s="1" t="n"/>
      <c r="I52" s="1" t="n"/>
      <c r="J52" s="1" t="n"/>
      <c r="K52" s="1" t="n"/>
      <c r="L52" s="1" t="n"/>
      <c r="M52" s="1" t="n"/>
    </row>
    <row r="53">
      <c r="A53" s="1" t="n"/>
      <c r="B53" s="1" t="n"/>
      <c r="C53" s="1" t="n"/>
      <c r="D53" s="1" t="n"/>
      <c r="E53" s="1" t="n"/>
      <c r="F53" s="1" t="n"/>
      <c r="G53" s="1" t="n"/>
      <c r="H53" s="1" t="n"/>
      <c r="I53" s="1" t="n"/>
      <c r="J53" s="1" t="n"/>
      <c r="K53" s="1" t="n"/>
      <c r="L53" s="1" t="n"/>
      <c r="M53" s="1" t="n"/>
    </row>
    <row r="54">
      <c r="A54" s="1" t="n"/>
      <c r="B54" s="1" t="n"/>
      <c r="C54" s="1" t="n"/>
      <c r="D54" s="1" t="n"/>
      <c r="E54" s="1" t="n"/>
      <c r="F54" s="1" t="n"/>
      <c r="G54" s="1" t="n"/>
      <c r="H54" s="1" t="n"/>
      <c r="I54" s="1" t="n"/>
      <c r="J54" s="1" t="n"/>
      <c r="K54" s="1" t="n"/>
      <c r="L54" s="1" t="n"/>
      <c r="M54" s="1" t="n"/>
    </row>
    <row r="55">
      <c r="A55" s="1" t="n"/>
      <c r="B55" s="1" t="n"/>
      <c r="C55" s="1" t="n"/>
      <c r="D55" s="1" t="n"/>
      <c r="E55" s="1" t="n"/>
      <c r="F55" s="1" t="n"/>
      <c r="G55" s="1" t="n"/>
      <c r="H55" s="1" t="n"/>
      <c r="I55" s="1" t="n"/>
      <c r="J55" s="1" t="n"/>
      <c r="K55" s="1" t="n"/>
      <c r="L55" s="1" t="n"/>
      <c r="M55" s="1" t="n"/>
    </row>
    <row r="56">
      <c r="A56" s="1" t="n"/>
      <c r="B56" s="1" t="n"/>
      <c r="C56" s="1" t="n"/>
      <c r="D56" s="1" t="n"/>
      <c r="E56" s="1" t="n"/>
      <c r="F56" s="1" t="n"/>
      <c r="G56" s="1" t="n"/>
      <c r="H56" s="1" t="n"/>
      <c r="I56" s="1" t="n"/>
      <c r="J56" s="1" t="n"/>
      <c r="K56" s="1" t="n"/>
      <c r="L56" s="1" t="n"/>
      <c r="M56" s="1" t="n"/>
    </row>
    <row r="57">
      <c r="A57" s="1" t="n"/>
      <c r="B57" s="1" t="n"/>
      <c r="C57" s="1" t="n"/>
      <c r="D57" s="1" t="n"/>
      <c r="E57" s="1" t="n"/>
      <c r="F57" s="1" t="n"/>
      <c r="G57" s="1" t="n"/>
      <c r="H57" s="1" t="n"/>
      <c r="I57" s="1" t="n"/>
      <c r="J57" s="1" t="n"/>
      <c r="K57" s="1" t="n"/>
      <c r="L57" s="1" t="n"/>
      <c r="M57" s="1" t="n"/>
    </row>
    <row r="58">
      <c r="A58" s="1" t="n"/>
      <c r="B58" s="1" t="n"/>
      <c r="C58" s="1" t="n"/>
      <c r="D58" s="1" t="n"/>
      <c r="E58" s="1" t="n"/>
      <c r="F58" s="1" t="n"/>
      <c r="G58" s="1" t="n"/>
      <c r="H58" s="1" t="n"/>
      <c r="I58" s="1" t="n"/>
      <c r="J58" s="1" t="n"/>
      <c r="K58" s="1" t="n"/>
      <c r="L58" s="1" t="n"/>
      <c r="M58" s="1" t="n"/>
    </row>
    <row r="59">
      <c r="A59" s="1" t="n"/>
      <c r="B59" s="1" t="n"/>
      <c r="C59" s="1" t="n"/>
      <c r="D59" s="1" t="n"/>
      <c r="E59" s="1" t="n"/>
      <c r="F59" s="1" t="n"/>
      <c r="G59" s="1" t="n"/>
      <c r="H59" s="1" t="n"/>
      <c r="I59" s="1" t="n"/>
      <c r="J59" s="1" t="n"/>
      <c r="K59" s="1" t="n"/>
      <c r="L59" s="1" t="n"/>
      <c r="M59" s="1" t="n"/>
    </row>
    <row r="60">
      <c r="A60" s="1" t="n"/>
      <c r="B60" s="1" t="n"/>
      <c r="C60" s="1" t="n"/>
      <c r="D60" s="1" t="n"/>
      <c r="E60" s="1" t="n"/>
      <c r="F60" s="1" t="n"/>
      <c r="G60" s="1" t="n"/>
      <c r="H60" s="1" t="n"/>
      <c r="I60" s="1" t="n"/>
      <c r="J60" s="1" t="n"/>
      <c r="K60" s="1" t="n"/>
      <c r="L60" s="1" t="n"/>
      <c r="M60" s="1" t="n"/>
    </row>
  </sheetData>
  <mergeCells count="28">
    <mergeCell ref="F11:G11"/>
    <mergeCell ref="B26:L26"/>
    <mergeCell ref="C23:L23"/>
    <mergeCell ref="D12:E13"/>
    <mergeCell ref="B27:L27"/>
    <mergeCell ref="C19:L19"/>
    <mergeCell ref="H12:I13"/>
    <mergeCell ref="B11:C11"/>
    <mergeCell ref="J12:K13"/>
    <mergeCell ref="C18:L18"/>
    <mergeCell ref="D11:E11"/>
    <mergeCell ref="B14:C14"/>
    <mergeCell ref="C24:L24"/>
    <mergeCell ref="B17:L17"/>
    <mergeCell ref="H11:I11"/>
    <mergeCell ref="B4:L5"/>
    <mergeCell ref="J11:K11"/>
    <mergeCell ref="B29:L29"/>
    <mergeCell ref="C20:L20"/>
    <mergeCell ref="B12:C13"/>
    <mergeCell ref="B6:L6"/>
    <mergeCell ref="F12:G13"/>
    <mergeCell ref="C22:L22"/>
    <mergeCell ref="B30:L30"/>
    <mergeCell ref="D14:E14"/>
    <mergeCell ref="C21:L21"/>
    <mergeCell ref="F14:G14"/>
    <mergeCell ref="B2:J2"/>
  </mergeCells>
  <printOptions horizontalCentered="0"/>
  <pageMargins left="0.75" right="0.75" top="1" bottom="1" header="0.5" footer="0.5"/>
  <pageSetup orientation="landscape" fitToHeight="0" fitToWidth="1"/>
</worksheet>
</file>

<file path=xl/worksheets/sheet2.xml><?xml version="1.0" encoding="utf-8"?>
<worksheet xmlns="http://schemas.openxmlformats.org/spreadsheetml/2006/main">
  <sheetPr>
    <tabColor rgb="001C2B45"/>
    <outlinePr summaryBelow="1" summaryRight="1"/>
    <pageSetUpPr fitToPage="1"/>
  </sheetPr>
  <dimension ref="A1:L70"/>
  <sheetViews>
    <sheetView showGridLines="0" workbookViewId="0">
      <pane ySplit="4" topLeftCell="A5" activePane="bottomLeft" state="frozen"/>
      <selection pane="bottomLeft" activeCell="A1" sqref="A1"/>
    </sheetView>
  </sheetViews>
  <sheetFormatPr baseColWidth="8" defaultRowHeight="15"/>
  <cols>
    <col width="3" customWidth="1" min="1" max="1"/>
    <col width="15" customWidth="1" min="2" max="2"/>
    <col width="15" customWidth="1" min="3" max="3"/>
    <col width="15" customWidth="1" min="4" max="4"/>
    <col width="15" customWidth="1" min="5" max="5"/>
    <col width="3" customWidth="1" min="6" max="6"/>
    <col width="15" customWidth="1" min="7" max="7"/>
    <col width="15" customWidth="1" min="8" max="8"/>
    <col width="15" customWidth="1" min="9" max="9"/>
    <col width="15" customWidth="1" min="10" max="10"/>
  </cols>
  <sheetData>
    <row r="1">
      <c r="A1" s="1" t="n"/>
      <c r="B1" s="1" t="n"/>
      <c r="C1" s="1" t="n"/>
      <c r="D1" s="1" t="n"/>
      <c r="E1" s="1" t="n"/>
      <c r="F1" s="1" t="n"/>
      <c r="G1" s="1" t="n"/>
      <c r="H1" s="1" t="n"/>
      <c r="I1" s="1" t="n"/>
      <c r="J1" s="1" t="n"/>
      <c r="K1" s="1" t="n"/>
      <c r="L1" s="1" t="n"/>
    </row>
    <row r="2" ht="22" customHeight="1">
      <c r="A2" s="1" t="n"/>
      <c r="B2" s="19" t="inlineStr">
        <is>
          <t>SANDHU GROUP — Financial Dashboard</t>
        </is>
      </c>
      <c r="C2" s="20" t="n"/>
      <c r="D2" s="20" t="n"/>
      <c r="E2" s="20" t="n"/>
      <c r="F2" s="20" t="n"/>
      <c r="G2" s="20" t="n"/>
      <c r="H2" s="20" t="n"/>
      <c r="I2" s="20" t="n"/>
      <c r="J2" s="20" t="n"/>
      <c r="K2" s="1" t="n"/>
      <c r="L2" s="1" t="n"/>
    </row>
    <row r="3" ht="10" customHeight="1">
      <c r="A3" s="1" t="n"/>
      <c r="B3" s="20" t="n"/>
      <c r="C3" s="20" t="n"/>
      <c r="D3" s="20" t="n"/>
      <c r="E3" s="20" t="n"/>
      <c r="F3" s="20" t="n"/>
      <c r="G3" s="20" t="n"/>
      <c r="H3" s="20" t="n"/>
      <c r="I3" s="20" t="n"/>
      <c r="J3" s="20" t="n"/>
      <c r="K3" s="1" t="n"/>
      <c r="L3" s="1" t="n"/>
    </row>
    <row r="4" ht="18" customHeight="1">
      <c r="A4" s="1" t="n"/>
      <c r="B4" s="21" t="inlineStr">
        <is>
          <t>CaseWare WTB + GIFI categorization  •  Fiscal year end March 31  •  Figures in CAD</t>
        </is>
      </c>
      <c r="K4" s="1" t="n"/>
      <c r="L4" s="1" t="n"/>
    </row>
    <row r="5">
      <c r="A5" s="1" t="n"/>
      <c r="B5" s="1" t="n"/>
      <c r="C5" s="1" t="n"/>
      <c r="D5" s="1" t="n"/>
      <c r="E5" s="1" t="n"/>
      <c r="F5" s="1" t="n"/>
      <c r="G5" s="1" t="n"/>
      <c r="H5" s="1" t="n"/>
      <c r="I5" s="1" t="n"/>
      <c r="J5" s="1" t="n"/>
      <c r="K5" s="1" t="n"/>
      <c r="L5" s="1" t="n"/>
    </row>
    <row r="6">
      <c r="A6" s="1" t="n"/>
      <c r="B6" s="22" t="inlineStr">
        <is>
          <t>Select Entity</t>
        </is>
      </c>
      <c r="C6" s="23" t="inlineStr">
        <is>
          <t>Restaurant IndiaRosa 2</t>
        </is>
      </c>
      <c r="F6" s="1" t="n"/>
      <c r="G6" s="22" t="inlineStr">
        <is>
          <t>Select Fiscal Year</t>
        </is>
      </c>
      <c r="H6" s="23" t="inlineStr">
        <is>
          <t>FY2025</t>
        </is>
      </c>
      <c r="I6" s="24" t="inlineStr">
        <is>
          <t>3 years, all 16 entities</t>
        </is>
      </c>
      <c r="J6" s="1" t="n"/>
      <c r="K6" s="1" t="n"/>
      <c r="L6" s="1" t="n"/>
    </row>
    <row r="7">
      <c r="A7" s="1" t="n"/>
      <c r="B7" s="1" t="n"/>
      <c r="C7" s="1" t="n"/>
      <c r="D7" s="1" t="n"/>
      <c r="E7" s="1" t="n"/>
      <c r="F7" s="1" t="n"/>
      <c r="G7" s="1" t="n"/>
      <c r="H7" s="1" t="n"/>
      <c r="I7" s="1" t="n"/>
      <c r="J7" s="1" t="n"/>
      <c r="K7" s="1" t="n"/>
      <c r="L7" s="1" t="n"/>
    </row>
    <row r="8">
      <c r="A8" s="1" t="n"/>
      <c r="B8" s="25" t="inlineStr">
        <is>
          <t>EntityId -&gt;</t>
        </is>
      </c>
      <c r="C8" s="25">
        <f>INDEX(Dim_Entity!$A$2:$A$17,MATCH($C$6,Dim_Entity!$B$2:$B$17,0))</f>
        <v/>
      </c>
      <c r="D8" s="1" t="n"/>
      <c r="E8" s="1" t="n"/>
      <c r="F8" s="1" t="n"/>
      <c r="G8" s="1" t="n"/>
      <c r="H8" s="1" t="n"/>
      <c r="I8" s="1" t="n"/>
      <c r="J8" s="1" t="n"/>
      <c r="K8" s="1" t="n"/>
      <c r="L8" s="1" t="n"/>
    </row>
    <row r="9">
      <c r="A9" s="1" t="n"/>
      <c r="B9" s="1" t="n"/>
      <c r="C9" s="1" t="n"/>
      <c r="D9" s="1" t="n"/>
      <c r="E9" s="1" t="n"/>
      <c r="F9" s="1" t="n"/>
      <c r="G9" s="1" t="n"/>
      <c r="H9" s="1" t="n"/>
      <c r="I9" s="1" t="n"/>
      <c r="J9" s="1" t="n"/>
      <c r="K9" s="1" t="n"/>
      <c r="L9" s="1" t="n"/>
    </row>
    <row r="10" ht="16" customHeight="1">
      <c r="A10" s="1" t="n"/>
      <c r="B10" s="26" t="inlineStr">
        <is>
          <t>REVENUE</t>
        </is>
      </c>
      <c r="C10" s="27" t="n"/>
      <c r="D10" s="26" t="inlineStr">
        <is>
          <t>EBITDA</t>
        </is>
      </c>
      <c r="E10" s="27" t="n"/>
      <c r="F10" s="1" t="n"/>
      <c r="G10" s="26" t="inlineStr">
        <is>
          <t>NET INCOME</t>
        </is>
      </c>
      <c r="H10" s="27" t="n"/>
      <c r="I10" s="26" t="inlineStr">
        <is>
          <t>INCOME TAX</t>
        </is>
      </c>
      <c r="J10" s="27" t="n"/>
      <c r="K10" s="1" t="n"/>
      <c r="L10" s="1" t="n"/>
    </row>
    <row r="11">
      <c r="A11" s="1" t="n"/>
      <c r="B11" s="28">
        <f>-(SUMIFS(Fact_TrialBalance[Amount],Fact_TrialBalance[EntityId],$C$8,Fact_TrialBalance[Category],"Operating Revenue",Fact_TrialBalance[FiscalYear],$H$6))</f>
        <v/>
      </c>
      <c r="C11" s="27" t="n"/>
      <c r="D11" s="28">
        <f>-(SUMIFS(Fact_TrialBalance[Amount],Fact_TrialBalance[EntityId],$C$8,Fact_TrialBalance[FiscalYear],$H$6)-SUMPRODUCT((Fact_TrialBalance[EntityId]=$C$8)*(Fact_TrialBalance[FiscalYear]=$H$6)*(ISNUMBER(MATCH(Fact_TrialBalance[Category],{"Interest &amp; Financing","Amortization","Income Tax"},0)))*Fact_TrialBalance[Amount]))</f>
        <v/>
      </c>
      <c r="E11" s="27" t="n"/>
      <c r="F11" s="1" t="n"/>
      <c r="G11" s="28">
        <f>-(SUMIFS(Fact_TrialBalance[Amount],Fact_TrialBalance[EntityId],$C$8,Fact_TrialBalance[FiscalYear],$H$6))</f>
        <v/>
      </c>
      <c r="H11" s="27" t="n"/>
      <c r="I11" s="28">
        <f>SUMIFS(Fact_TrialBalance[Amount],Fact_TrialBalance[EntityId],$C$8,Fact_TrialBalance[Category],"Income Tax",Fact_TrialBalance[FiscalYear],$H$6)</f>
        <v/>
      </c>
      <c r="J11" s="27" t="n"/>
      <c r="K11" s="1" t="n"/>
      <c r="L11" s="1" t="n"/>
    </row>
    <row r="12">
      <c r="A12" s="1" t="n"/>
      <c r="B12" s="27" t="n"/>
      <c r="C12" s="27" t="n"/>
      <c r="D12" s="27" t="n"/>
      <c r="E12" s="27" t="n"/>
      <c r="F12" s="1" t="n"/>
      <c r="G12" s="27" t="n"/>
      <c r="H12" s="27" t="n"/>
      <c r="I12" s="27" t="n"/>
      <c r="J12" s="27" t="n"/>
      <c r="K12" s="1" t="n"/>
      <c r="L12" s="1" t="n"/>
    </row>
    <row r="13">
      <c r="A13" s="1" t="n"/>
      <c r="B13" s="1" t="n"/>
      <c r="C13" s="1" t="n"/>
      <c r="D13" s="1" t="n"/>
      <c r="E13" s="1" t="n"/>
      <c r="F13" s="1" t="n"/>
      <c r="G13" s="1" t="n"/>
      <c r="H13" s="1" t="n"/>
      <c r="I13" s="1" t="n"/>
      <c r="J13" s="1" t="n"/>
      <c r="K13" s="1" t="n"/>
      <c r="L13" s="1" t="n"/>
    </row>
    <row r="14">
      <c r="A14" s="1" t="n"/>
      <c r="B14" s="29" t="inlineStr">
        <is>
          <t>EBITDA MARGIN</t>
        </is>
      </c>
      <c r="C14" s="27" t="n"/>
      <c r="D14" s="29" t="inlineStr">
        <is>
          <t>EFFECTIVE TAX RATE</t>
        </is>
      </c>
      <c r="E14" s="27" t="n"/>
      <c r="F14" s="1" t="n"/>
      <c r="G14" s="29" t="inlineStr">
        <is>
          <t>% OF GROUP REVENUE</t>
        </is>
      </c>
      <c r="H14" s="27" t="n"/>
      <c r="I14" s="29" t="inlineStr">
        <is>
          <t>COGS</t>
        </is>
      </c>
      <c r="J14" s="27" t="n"/>
      <c r="K14" s="1" t="n"/>
      <c r="L14" s="1" t="n"/>
    </row>
    <row r="15">
      <c r="A15" s="1" t="n"/>
      <c r="B15" s="30">
        <f>IFERROR(D11/B11,0)</f>
        <v/>
      </c>
      <c r="C15" s="27" t="n"/>
      <c r="D15" s="30">
        <f>IFERROR(I11/(G11+I11),0)</f>
        <v/>
      </c>
      <c r="E15" s="27" t="n"/>
      <c r="F15" s="1" t="n"/>
      <c r="G15" s="30">
        <f>IFERROR(B11/(-SUMIFS(Fact_TrialBalance[Amount],Fact_TrialBalance[Category],"Operating Revenue",Fact_TrialBalance[FiscalYear],$H$6)),0)</f>
        <v/>
      </c>
      <c r="H15" s="27" t="n"/>
      <c r="I15" s="28">
        <f>SUMIFS(Fact_TrialBalance[Amount],Fact_TrialBalance[EntityId],$C$8,Fact_TrialBalance[Category],"COGS",Fact_TrialBalance[FiscalYear],$H$6)</f>
        <v/>
      </c>
      <c r="J15" s="27" t="n"/>
      <c r="K15" s="1" t="n"/>
      <c r="L15" s="1" t="n"/>
    </row>
    <row r="16">
      <c r="A16" s="1" t="n"/>
      <c r="B16" s="27" t="n"/>
      <c r="C16" s="27" t="n"/>
      <c r="D16" s="27" t="n"/>
      <c r="E16" s="27" t="n"/>
      <c r="F16" s="1" t="n"/>
      <c r="G16" s="27" t="n"/>
      <c r="H16" s="27" t="n"/>
      <c r="I16" s="27" t="n"/>
      <c r="J16" s="27" t="n"/>
      <c r="K16" s="1" t="n"/>
      <c r="L16" s="1" t="n"/>
    </row>
    <row r="17">
      <c r="A17" s="1" t="n"/>
      <c r="B17" s="1" t="n"/>
      <c r="C17" s="1" t="n"/>
      <c r="D17" s="1" t="n"/>
      <c r="E17" s="1" t="n"/>
      <c r="F17" s="1" t="n"/>
      <c r="G17" s="1" t="n"/>
      <c r="H17" s="1" t="n"/>
      <c r="I17" s="1" t="n"/>
      <c r="J17" s="1" t="n"/>
      <c r="K17" s="1" t="n"/>
      <c r="L17" s="1" t="n"/>
    </row>
    <row r="18">
      <c r="A18" s="1" t="n"/>
      <c r="B18" s="1" t="n"/>
      <c r="C18" s="1" t="n"/>
      <c r="D18" s="1" t="n"/>
      <c r="E18" s="1" t="n"/>
      <c r="F18" s="1" t="n"/>
      <c r="G18" s="1" t="n"/>
      <c r="H18" s="1" t="n"/>
      <c r="I18" s="1" t="n"/>
      <c r="J18" s="1" t="n"/>
      <c r="K18" s="1" t="n"/>
      <c r="L18" s="1" t="n"/>
    </row>
    <row r="19">
      <c r="A19" s="1" t="n"/>
      <c r="B19" s="31" t="inlineStr">
        <is>
          <t>Category Breakdown</t>
        </is>
      </c>
      <c r="C19" s="20" t="n"/>
      <c r="D19" s="20" t="n"/>
      <c r="E19" s="20" t="n"/>
      <c r="F19" s="1" t="n"/>
      <c r="G19" s="1" t="n"/>
      <c r="H19" s="1" t="n"/>
      <c r="I19" s="1" t="n"/>
      <c r="J19" s="1" t="n"/>
      <c r="K19" s="1" t="n"/>
      <c r="L19" s="1" t="n"/>
    </row>
    <row r="20">
      <c r="A20" s="1" t="n"/>
      <c r="B20" s="32" t="inlineStr">
        <is>
          <t>Category</t>
        </is>
      </c>
      <c r="C20" s="32" t="inlineStr">
        <is>
          <t>Amount</t>
        </is>
      </c>
      <c r="D20" s="1" t="n"/>
      <c r="E20" s="1" t="n"/>
      <c r="F20" s="1" t="n"/>
      <c r="G20" s="1" t="n"/>
      <c r="H20" s="1" t="n"/>
      <c r="I20" s="1" t="n"/>
      <c r="J20" s="1" t="n"/>
      <c r="K20" s="1" t="n"/>
      <c r="L20" s="1" t="n"/>
    </row>
    <row r="21">
      <c r="A21" s="1" t="n"/>
      <c r="B21" s="1" t="inlineStr">
        <is>
          <t>Operating Revenue</t>
        </is>
      </c>
      <c r="C21" s="33">
        <f>-(SUMIFS(Fact_TrialBalance[Amount],Fact_TrialBalance[EntityId],$C$8,Fact_TrialBalance[Category],"Operating Revenue",Fact_TrialBalance[FiscalYear],$H$6))</f>
        <v/>
      </c>
      <c r="D21" s="1" t="n"/>
      <c r="E21" s="1" t="n"/>
      <c r="F21" s="1" t="n"/>
      <c r="G21" s="1" t="n"/>
      <c r="H21" s="1" t="n"/>
      <c r="I21" s="1" t="n"/>
      <c r="J21" s="1" t="n"/>
      <c r="K21" s="1" t="n"/>
      <c r="L21" s="1" t="n"/>
    </row>
    <row r="22">
      <c r="A22" s="1" t="n"/>
      <c r="B22" s="1" t="inlineStr">
        <is>
          <t>Investment &amp; Other Income</t>
        </is>
      </c>
      <c r="C22" s="33">
        <f>-(SUMIFS(Fact_TrialBalance[Amount],Fact_TrialBalance[EntityId],$C$8,Fact_TrialBalance[Category],"Investment &amp; Other Income",Fact_TrialBalance[FiscalYear],$H$6))</f>
        <v/>
      </c>
      <c r="D22" s="1" t="n"/>
      <c r="E22" s="1" t="n"/>
      <c r="F22" s="1" t="n"/>
      <c r="G22" s="1" t="n"/>
      <c r="H22" s="1" t="n"/>
      <c r="I22" s="1" t="n"/>
      <c r="J22" s="1" t="n"/>
      <c r="K22" s="1" t="n"/>
      <c r="L22" s="1" t="n"/>
    </row>
    <row r="23">
      <c r="A23" s="1" t="n"/>
      <c r="B23" s="1" t="inlineStr">
        <is>
          <t>COGS</t>
        </is>
      </c>
      <c r="C23" s="33">
        <f>SUMIFS(Fact_TrialBalance[Amount],Fact_TrialBalance[EntityId],$C$8,Fact_TrialBalance[Category],"COGS",Fact_TrialBalance[FiscalYear],$H$6)</f>
        <v/>
      </c>
      <c r="D23" s="1" t="n"/>
      <c r="E23" s="1" t="n"/>
      <c r="F23" s="1" t="n"/>
      <c r="G23" s="1" t="n"/>
      <c r="H23" s="1" t="n"/>
      <c r="I23" s="1" t="n"/>
      <c r="J23" s="1" t="n"/>
      <c r="K23" s="1" t="n"/>
      <c r="L23" s="1" t="n"/>
    </row>
    <row r="24">
      <c r="A24" s="1" t="n"/>
      <c r="B24" s="1" t="inlineStr">
        <is>
          <t>Payroll &amp; Benefits</t>
        </is>
      </c>
      <c r="C24" s="33">
        <f>SUMIFS(Fact_TrialBalance[Amount],Fact_TrialBalance[EntityId],$C$8,Fact_TrialBalance[Category],"Payroll &amp; Benefits",Fact_TrialBalance[FiscalYear],$H$6)</f>
        <v/>
      </c>
      <c r="D24" s="1" t="n"/>
      <c r="E24" s="1" t="n"/>
      <c r="F24" s="1" t="n"/>
      <c r="G24" s="1" t="n"/>
      <c r="H24" s="1" t="n"/>
      <c r="I24" s="1" t="n"/>
      <c r="J24" s="1" t="n"/>
      <c r="K24" s="1" t="n"/>
      <c r="L24" s="1" t="n"/>
    </row>
    <row r="25">
      <c r="A25" s="1" t="n"/>
      <c r="B25" s="1" t="inlineStr">
        <is>
          <t>Occupancy</t>
        </is>
      </c>
      <c r="C25" s="33">
        <f>SUMIFS(Fact_TrialBalance[Amount],Fact_TrialBalance[EntityId],$C$8,Fact_TrialBalance[Category],"Occupancy",Fact_TrialBalance[FiscalYear],$H$6)</f>
        <v/>
      </c>
      <c r="D25" s="1" t="n"/>
      <c r="E25" s="1" t="n"/>
      <c r="F25" s="1" t="n"/>
      <c r="G25" s="1" t="n"/>
      <c r="H25" s="1" t="n"/>
      <c r="I25" s="1" t="n"/>
      <c r="J25" s="1" t="n"/>
      <c r="K25" s="1" t="n"/>
      <c r="L25" s="1" t="n"/>
    </row>
    <row r="26">
      <c r="A26" s="1" t="n"/>
      <c r="B26" s="1" t="inlineStr">
        <is>
          <t>Marketing &amp; Entertainment</t>
        </is>
      </c>
      <c r="C26" s="33">
        <f>SUMIFS(Fact_TrialBalance[Amount],Fact_TrialBalance[EntityId],$C$8,Fact_TrialBalance[Category],"Marketing &amp; Entertainment",Fact_TrialBalance[FiscalYear],$H$6)</f>
        <v/>
      </c>
      <c r="D26" s="1" t="n"/>
      <c r="E26" s="1" t="n"/>
      <c r="F26" s="1" t="n"/>
      <c r="G26" s="1" t="n"/>
      <c r="H26" s="1" t="n"/>
      <c r="I26" s="1" t="n"/>
      <c r="J26" s="1" t="n"/>
      <c r="K26" s="1" t="n"/>
      <c r="L26" s="1" t="n"/>
    </row>
    <row r="27">
      <c r="A27" s="1" t="n"/>
      <c r="B27" s="1" t="inlineStr">
        <is>
          <t>Administrative</t>
        </is>
      </c>
      <c r="C27" s="33">
        <f>SUMIFS(Fact_TrialBalance[Amount],Fact_TrialBalance[EntityId],$C$8,Fact_TrialBalance[Category],"Administrative",Fact_TrialBalance[FiscalYear],$H$6)</f>
        <v/>
      </c>
      <c r="D27" s="1" t="n"/>
      <c r="E27" s="1" t="n"/>
      <c r="F27" s="1" t="n"/>
      <c r="G27" s="1" t="n"/>
      <c r="H27" s="1" t="n"/>
      <c r="I27" s="1" t="n"/>
      <c r="J27" s="1" t="n"/>
      <c r="K27" s="1" t="n"/>
      <c r="L27" s="1" t="n"/>
    </row>
    <row r="28">
      <c r="A28" s="1" t="n"/>
      <c r="B28" s="1" t="inlineStr">
        <is>
          <t>Management Fees (Interco)</t>
        </is>
      </c>
      <c r="C28" s="33">
        <f>SUMIFS(Fact_TrialBalance[Amount],Fact_TrialBalance[EntityId],$C$8,Fact_TrialBalance[Category],"Management Fees (Interco)",Fact_TrialBalance[FiscalYear],$H$6)</f>
        <v/>
      </c>
      <c r="D28" s="1" t="n"/>
      <c r="E28" s="1" t="n"/>
      <c r="F28" s="1" t="n"/>
      <c r="G28" s="1" t="n"/>
      <c r="H28" s="1" t="n"/>
      <c r="I28" s="1" t="n"/>
      <c r="J28" s="1" t="n"/>
      <c r="K28" s="1" t="n"/>
      <c r="L28" s="1" t="n"/>
    </row>
    <row r="29">
      <c r="A29" s="1" t="n"/>
      <c r="B29" s="1" t="inlineStr">
        <is>
          <t>Interest &amp; Financing</t>
        </is>
      </c>
      <c r="C29" s="33">
        <f>SUMIFS(Fact_TrialBalance[Amount],Fact_TrialBalance[EntityId],$C$8,Fact_TrialBalance[Category],"Interest &amp; Financing",Fact_TrialBalance[FiscalYear],$H$6)</f>
        <v/>
      </c>
      <c r="D29" s="1" t="n"/>
      <c r="E29" s="1" t="n"/>
      <c r="F29" s="1" t="n"/>
      <c r="G29" s="1" t="n"/>
      <c r="H29" s="1" t="n"/>
      <c r="I29" s="1" t="n"/>
      <c r="J29" s="1" t="n"/>
      <c r="K29" s="1" t="n"/>
      <c r="L29" s="1" t="n"/>
    </row>
    <row r="30">
      <c r="A30" s="1" t="n"/>
      <c r="B30" s="1" t="inlineStr">
        <is>
          <t>Repairs &amp; Maintenance</t>
        </is>
      </c>
      <c r="C30" s="33">
        <f>SUMIFS(Fact_TrialBalance[Amount],Fact_TrialBalance[EntityId],$C$8,Fact_TrialBalance[Category],"Repairs &amp; Maintenance",Fact_TrialBalance[FiscalYear],$H$6)</f>
        <v/>
      </c>
      <c r="D30" s="1" t="n"/>
      <c r="E30" s="1" t="n"/>
      <c r="F30" s="1" t="n"/>
      <c r="G30" s="1" t="n"/>
      <c r="H30" s="1" t="n"/>
      <c r="I30" s="1" t="n"/>
      <c r="J30" s="1" t="n"/>
      <c r="K30" s="1" t="n"/>
      <c r="L30" s="1" t="n"/>
    </row>
    <row r="31">
      <c r="A31" s="1" t="n"/>
      <c r="B31" s="1" t="inlineStr">
        <is>
          <t>Amortization</t>
        </is>
      </c>
      <c r="C31" s="33">
        <f>SUMIFS(Fact_TrialBalance[Amount],Fact_TrialBalance[EntityId],$C$8,Fact_TrialBalance[Category],"Amortization",Fact_TrialBalance[FiscalYear],$H$6)</f>
        <v/>
      </c>
      <c r="D31" s="1" t="n"/>
      <c r="E31" s="1" t="n"/>
      <c r="F31" s="1" t="n"/>
      <c r="G31" s="1" t="n"/>
      <c r="H31" s="1" t="n"/>
      <c r="I31" s="1" t="n"/>
      <c r="J31" s="1" t="n"/>
      <c r="K31" s="1" t="n"/>
      <c r="L31" s="1" t="n"/>
    </row>
    <row r="32">
      <c r="A32" s="1" t="n"/>
      <c r="B32" s="1" t="inlineStr">
        <is>
          <t>Other Operating</t>
        </is>
      </c>
      <c r="C32" s="33">
        <f>SUMIFS(Fact_TrialBalance[Amount],Fact_TrialBalance[EntityId],$C$8,Fact_TrialBalance[Category],"Other Operating",Fact_TrialBalance[FiscalYear],$H$6)</f>
        <v/>
      </c>
      <c r="D32" s="1" t="n"/>
      <c r="E32" s="1" t="n"/>
      <c r="F32" s="1" t="n"/>
      <c r="G32" s="1" t="n"/>
      <c r="H32" s="1" t="n"/>
      <c r="I32" s="1" t="n"/>
      <c r="J32" s="1" t="n"/>
      <c r="K32" s="1" t="n"/>
      <c r="L32" s="1" t="n"/>
    </row>
    <row r="33">
      <c r="A33" s="1" t="n"/>
      <c r="B33" s="1" t="inlineStr">
        <is>
          <t>Income Tax</t>
        </is>
      </c>
      <c r="C33" s="33">
        <f>SUMIFS(Fact_TrialBalance[Amount],Fact_TrialBalance[EntityId],$C$8,Fact_TrialBalance[Category],"Income Tax",Fact_TrialBalance[FiscalYear],$H$6)</f>
        <v/>
      </c>
      <c r="D33" s="1" t="n"/>
      <c r="E33" s="1" t="n"/>
      <c r="F33" s="1" t="n"/>
      <c r="G33" s="1" t="n"/>
      <c r="H33" s="1" t="n"/>
      <c r="I33" s="1" t="n"/>
      <c r="J33" s="1" t="n"/>
      <c r="K33" s="1" t="n"/>
      <c r="L33" s="1" t="n"/>
    </row>
    <row r="34">
      <c r="A34" s="1" t="n"/>
      <c r="B34" s="1" t="n"/>
      <c r="C34" s="1" t="n"/>
      <c r="D34" s="1" t="n"/>
      <c r="E34" s="1" t="n"/>
      <c r="F34" s="1" t="n"/>
      <c r="G34" s="1" t="n"/>
      <c r="H34" s="1" t="n"/>
      <c r="I34" s="1" t="n"/>
      <c r="J34" s="1" t="n"/>
      <c r="K34" s="1" t="n"/>
      <c r="L34" s="1" t="n"/>
    </row>
    <row r="35">
      <c r="A35" s="1" t="n"/>
      <c r="B35" s="1" t="n"/>
      <c r="C35" s="1" t="n"/>
      <c r="D35" s="1" t="n"/>
      <c r="E35" s="1" t="n"/>
      <c r="F35" s="1" t="n"/>
      <c r="G35" s="1" t="n"/>
      <c r="H35" s="1" t="n"/>
      <c r="I35" s="1" t="n"/>
      <c r="J35" s="1" t="n"/>
      <c r="K35" s="1" t="n"/>
      <c r="L35" s="1" t="n"/>
    </row>
    <row r="36">
      <c r="A36" s="1" t="n"/>
      <c r="B36" s="1" t="n"/>
      <c r="C36" s="1" t="n"/>
      <c r="D36" s="1" t="n"/>
      <c r="E36" s="1" t="n"/>
      <c r="F36" s="1" t="n"/>
      <c r="G36" s="1" t="n"/>
      <c r="H36" s="1" t="n"/>
      <c r="I36" s="1" t="n"/>
      <c r="J36" s="1" t="n"/>
      <c r="K36" s="1" t="n"/>
      <c r="L36" s="1" t="n"/>
    </row>
    <row r="37">
      <c r="A37" s="1" t="n"/>
      <c r="B37" s="1" t="n"/>
      <c r="C37" s="1" t="n"/>
      <c r="D37" s="1" t="n"/>
      <c r="E37" s="1" t="n"/>
      <c r="F37" s="1" t="n"/>
      <c r="G37" s="1" t="n"/>
      <c r="H37" s="1" t="n"/>
      <c r="I37" s="1" t="n"/>
      <c r="J37" s="1" t="n"/>
      <c r="K37" s="1" t="n"/>
      <c r="L37" s="1" t="n"/>
    </row>
    <row r="38">
      <c r="A38" s="1" t="n"/>
      <c r="B38" s="1" t="n"/>
      <c r="C38" s="1" t="n"/>
      <c r="D38" s="1" t="n"/>
      <c r="E38" s="1" t="n"/>
      <c r="F38" s="1" t="n"/>
      <c r="G38" s="1" t="n"/>
      <c r="H38" s="1" t="n"/>
      <c r="I38" s="1" t="n"/>
      <c r="J38" s="1" t="n"/>
      <c r="K38" s="1" t="n"/>
      <c r="L38" s="1" t="n"/>
    </row>
    <row r="39">
      <c r="A39" s="1" t="n"/>
      <c r="B39" s="1" t="n"/>
      <c r="C39" s="1" t="n"/>
      <c r="D39" s="1" t="n"/>
      <c r="E39" s="1" t="n"/>
      <c r="F39" s="1" t="n"/>
      <c r="G39" s="1" t="n"/>
      <c r="H39" s="1" t="n"/>
      <c r="I39" s="1" t="n"/>
      <c r="J39" s="1" t="n"/>
      <c r="K39" s="1" t="n"/>
      <c r="L39" s="1" t="n"/>
    </row>
    <row r="40">
      <c r="A40" s="1" t="n"/>
      <c r="B40" s="1" t="n"/>
      <c r="C40" s="1" t="n"/>
      <c r="D40" s="1" t="n"/>
      <c r="E40" s="1" t="n"/>
      <c r="F40" s="1" t="n"/>
      <c r="G40" s="1" t="n"/>
      <c r="H40" s="1" t="n"/>
      <c r="I40" s="1" t="n"/>
      <c r="J40" s="1" t="n"/>
      <c r="K40" s="1" t="n"/>
      <c r="L40" s="1" t="n"/>
    </row>
    <row r="41">
      <c r="A41" s="1" t="n"/>
      <c r="B41" s="1" t="n"/>
      <c r="C41" s="1" t="n"/>
      <c r="D41" s="1" t="n"/>
      <c r="E41" s="1" t="n"/>
      <c r="F41" s="1" t="n"/>
      <c r="G41" s="1" t="n"/>
      <c r="H41" s="1" t="n"/>
      <c r="I41" s="1" t="n"/>
      <c r="J41" s="1" t="n"/>
      <c r="K41" s="1" t="n"/>
      <c r="L41" s="1" t="n"/>
    </row>
    <row r="42">
      <c r="A42" s="1" t="n"/>
      <c r="B42" s="1" t="n"/>
      <c r="C42" s="1" t="n"/>
      <c r="D42" s="1" t="n"/>
      <c r="E42" s="1" t="n"/>
      <c r="F42" s="1" t="n"/>
      <c r="G42" s="1" t="n"/>
      <c r="H42" s="1" t="n"/>
      <c r="I42" s="1" t="n"/>
      <c r="J42" s="1" t="n"/>
      <c r="K42" s="1" t="n"/>
      <c r="L42" s="1" t="n"/>
    </row>
    <row r="43">
      <c r="A43" s="1" t="n"/>
      <c r="B43" s="1" t="n"/>
      <c r="C43" s="1" t="n"/>
      <c r="D43" s="1" t="n"/>
      <c r="E43" s="1" t="n"/>
      <c r="F43" s="1" t="n"/>
      <c r="G43" s="1" t="n"/>
      <c r="H43" s="1" t="n"/>
      <c r="I43" s="1" t="n"/>
      <c r="J43" s="1" t="n"/>
      <c r="K43" s="1" t="n"/>
      <c r="L43" s="1" t="n"/>
    </row>
    <row r="44">
      <c r="A44" s="1" t="n"/>
      <c r="B44" s="1" t="n"/>
      <c r="C44" s="1" t="n"/>
      <c r="D44" s="1" t="n"/>
      <c r="E44" s="1" t="n"/>
      <c r="F44" s="1" t="n"/>
      <c r="G44" s="1" t="n"/>
      <c r="H44" s="1" t="n"/>
      <c r="I44" s="1" t="n"/>
      <c r="J44" s="1" t="n"/>
      <c r="K44" s="1" t="n"/>
      <c r="L44" s="1" t="n"/>
    </row>
    <row r="45">
      <c r="A45" s="1" t="n"/>
      <c r="B45" s="1" t="n"/>
      <c r="C45" s="1" t="n"/>
      <c r="D45" s="1" t="n"/>
      <c r="E45" s="1" t="n"/>
      <c r="F45" s="1" t="n"/>
      <c r="G45" s="1" t="n"/>
      <c r="H45" s="1" t="n"/>
      <c r="I45" s="1" t="n"/>
      <c r="J45" s="1" t="n"/>
      <c r="K45" s="1" t="n"/>
      <c r="L45" s="1" t="n"/>
    </row>
    <row r="46">
      <c r="A46" s="1" t="n"/>
      <c r="B46" s="1" t="n"/>
      <c r="C46" s="1" t="n"/>
      <c r="D46" s="1" t="n"/>
      <c r="E46" s="1" t="n"/>
      <c r="F46" s="1" t="n"/>
      <c r="G46" s="1" t="n"/>
      <c r="H46" s="1" t="n"/>
      <c r="I46" s="1" t="n"/>
      <c r="J46" s="1" t="n"/>
      <c r="K46" s="1" t="n"/>
      <c r="L46" s="1" t="n"/>
    </row>
    <row r="47">
      <c r="A47" s="1" t="n"/>
      <c r="B47" s="1" t="n"/>
      <c r="C47" s="1" t="n"/>
      <c r="D47" s="1" t="n"/>
      <c r="E47" s="1" t="n"/>
      <c r="F47" s="1" t="n"/>
      <c r="G47" s="1" t="n"/>
      <c r="H47" s="1" t="n"/>
      <c r="I47" s="1" t="n"/>
      <c r="J47" s="1" t="n"/>
      <c r="K47" s="1" t="n"/>
      <c r="L47" s="1" t="n"/>
    </row>
    <row r="48">
      <c r="A48" s="1" t="n"/>
      <c r="B48" s="1" t="n"/>
      <c r="C48" s="1" t="n"/>
      <c r="D48" s="1" t="n"/>
      <c r="E48" s="1" t="n"/>
      <c r="F48" s="1" t="n"/>
      <c r="G48" s="1" t="n"/>
      <c r="H48" s="1" t="n"/>
      <c r="I48" s="1" t="n"/>
      <c r="J48" s="1" t="n"/>
      <c r="K48" s="1" t="n"/>
      <c r="L48" s="1" t="n"/>
    </row>
    <row r="49">
      <c r="A49" s="1" t="n"/>
      <c r="B49" s="1" t="n"/>
      <c r="C49" s="1" t="n"/>
      <c r="D49" s="1" t="n"/>
      <c r="E49" s="1" t="n"/>
      <c r="F49" s="1" t="n"/>
      <c r="G49" s="1" t="n"/>
      <c r="H49" s="1" t="n"/>
      <c r="I49" s="1" t="n"/>
      <c r="J49" s="1" t="n"/>
      <c r="K49" s="1" t="n"/>
      <c r="L49" s="1" t="n"/>
    </row>
    <row r="50">
      <c r="A50" s="1" t="n"/>
      <c r="B50" s="1" t="n"/>
      <c r="C50" s="1" t="n"/>
      <c r="D50" s="1" t="n"/>
      <c r="E50" s="1" t="n"/>
      <c r="F50" s="1" t="n"/>
      <c r="G50" s="1" t="n"/>
      <c r="H50" s="1" t="n"/>
      <c r="I50" s="1" t="n"/>
      <c r="J50" s="1" t="n"/>
      <c r="K50" s="1" t="n"/>
      <c r="L50" s="1" t="n"/>
    </row>
    <row r="51">
      <c r="A51" s="1" t="n"/>
      <c r="B51" s="1" t="n"/>
      <c r="C51" s="1" t="n"/>
      <c r="D51" s="1" t="n"/>
      <c r="E51" s="1" t="n"/>
      <c r="F51" s="1" t="n"/>
      <c r="G51" s="1" t="n"/>
      <c r="H51" s="1" t="n"/>
      <c r="I51" s="1" t="n"/>
      <c r="J51" s="1" t="n"/>
      <c r="K51" s="1" t="n"/>
      <c r="L51" s="1" t="n"/>
    </row>
    <row r="52">
      <c r="A52" s="1" t="n"/>
      <c r="B52" s="1" t="n"/>
      <c r="C52" s="1" t="n"/>
      <c r="D52" s="1" t="n"/>
      <c r="E52" s="1" t="n"/>
      <c r="F52" s="1" t="n"/>
      <c r="G52" s="1" t="n"/>
      <c r="H52" s="1" t="n"/>
      <c r="I52" s="1" t="n"/>
      <c r="J52" s="1" t="n"/>
      <c r="K52" s="1" t="n"/>
      <c r="L52" s="1" t="n"/>
    </row>
    <row r="53">
      <c r="A53" s="1" t="n"/>
      <c r="B53" s="1" t="n"/>
      <c r="C53" s="1" t="n"/>
      <c r="D53" s="1" t="n"/>
      <c r="E53" s="1" t="n"/>
      <c r="F53" s="1" t="n"/>
      <c r="G53" s="1" t="n"/>
      <c r="H53" s="1" t="n"/>
      <c r="I53" s="1" t="n"/>
      <c r="J53" s="1" t="n"/>
      <c r="K53" s="1" t="n"/>
      <c r="L53" s="1" t="n"/>
    </row>
    <row r="54">
      <c r="A54" s="1" t="n"/>
      <c r="B54" s="1" t="n"/>
      <c r="C54" s="1" t="n"/>
      <c r="D54" s="1" t="n"/>
      <c r="E54" s="1" t="n"/>
      <c r="F54" s="1" t="n"/>
      <c r="G54" s="1" t="n"/>
      <c r="H54" s="1" t="n"/>
      <c r="I54" s="1" t="n"/>
      <c r="J54" s="1" t="n"/>
      <c r="K54" s="1" t="n"/>
      <c r="L54" s="1" t="n"/>
    </row>
    <row r="55">
      <c r="A55" s="1" t="n"/>
      <c r="B55" s="1" t="n"/>
      <c r="C55" s="1" t="n"/>
      <c r="D55" s="1" t="n"/>
      <c r="E55" s="1" t="n"/>
      <c r="F55" s="1" t="n"/>
      <c r="G55" s="1" t="n"/>
      <c r="H55" s="1" t="n"/>
      <c r="I55" s="1" t="n"/>
      <c r="J55" s="1" t="n"/>
      <c r="K55" s="1" t="n"/>
      <c r="L55" s="1" t="n"/>
    </row>
    <row r="56">
      <c r="A56" s="1" t="n"/>
      <c r="B56" s="1" t="n"/>
      <c r="C56" s="1" t="n"/>
      <c r="D56" s="1" t="n"/>
      <c r="E56" s="1" t="n"/>
      <c r="F56" s="1" t="n"/>
      <c r="G56" s="1" t="n"/>
      <c r="H56" s="1" t="n"/>
      <c r="I56" s="1" t="n"/>
      <c r="J56" s="1" t="n"/>
      <c r="K56" s="1" t="n"/>
      <c r="L56" s="1" t="n"/>
    </row>
    <row r="57">
      <c r="A57" s="1" t="n"/>
      <c r="B57" s="1" t="n"/>
      <c r="C57" s="1" t="n"/>
      <c r="D57" s="1" t="n"/>
      <c r="E57" s="1" t="n"/>
      <c r="F57" s="1" t="n"/>
      <c r="G57" s="1" t="n"/>
      <c r="H57" s="1" t="n"/>
      <c r="I57" s="1" t="n"/>
      <c r="J57" s="1" t="n"/>
      <c r="K57" s="1" t="n"/>
      <c r="L57" s="1" t="n"/>
    </row>
    <row r="58">
      <c r="A58" s="1" t="n"/>
      <c r="B58" s="1" t="n"/>
      <c r="C58" s="1" t="n"/>
      <c r="D58" s="1" t="n"/>
      <c r="E58" s="1" t="n"/>
      <c r="F58" s="1" t="n"/>
      <c r="G58" s="1" t="n"/>
      <c r="H58" s="1" t="n"/>
      <c r="I58" s="1" t="n"/>
      <c r="J58" s="1" t="n"/>
      <c r="K58" s="1" t="n"/>
      <c r="L58" s="1" t="n"/>
    </row>
    <row r="59">
      <c r="A59" s="1" t="n"/>
      <c r="B59" s="1" t="n"/>
      <c r="C59" s="1" t="n"/>
      <c r="D59" s="1" t="n"/>
      <c r="E59" s="1" t="n"/>
      <c r="F59" s="1" t="n"/>
      <c r="G59" s="1" t="n"/>
      <c r="H59" s="1" t="n"/>
      <c r="I59" s="1" t="n"/>
      <c r="J59" s="1" t="n"/>
      <c r="K59" s="1" t="n"/>
      <c r="L59" s="1" t="n"/>
    </row>
    <row r="60">
      <c r="A60" s="1" t="n"/>
      <c r="B60" s="1" t="n"/>
      <c r="C60" s="1" t="n"/>
      <c r="D60" s="1" t="n"/>
      <c r="E60" s="1" t="n"/>
      <c r="F60" s="1" t="n"/>
      <c r="G60" s="1" t="n"/>
      <c r="H60" s="1" t="n"/>
      <c r="I60" s="1" t="n"/>
      <c r="J60" s="1" t="n"/>
      <c r="K60" s="1" t="n"/>
      <c r="L60" s="1" t="n"/>
    </row>
    <row r="61">
      <c r="A61" s="1" t="n"/>
      <c r="B61" s="1" t="n"/>
      <c r="C61" s="1" t="n"/>
      <c r="D61" s="1" t="n"/>
      <c r="E61" s="1" t="n"/>
      <c r="F61" s="1" t="n"/>
      <c r="G61" s="1" t="n"/>
      <c r="H61" s="1" t="n"/>
      <c r="I61" s="1" t="n"/>
      <c r="J61" s="1" t="n"/>
      <c r="K61" s="1" t="n"/>
      <c r="L61" s="1" t="n"/>
    </row>
    <row r="62">
      <c r="A62" s="1" t="n"/>
      <c r="B62" s="1" t="n"/>
      <c r="C62" s="1" t="n"/>
      <c r="D62" s="1" t="n"/>
      <c r="E62" s="1" t="n"/>
      <c r="F62" s="1" t="n"/>
      <c r="G62" s="1" t="n"/>
      <c r="H62" s="1" t="n"/>
      <c r="I62" s="1" t="n"/>
      <c r="J62" s="1" t="n"/>
      <c r="K62" s="1" t="n"/>
      <c r="L62" s="1" t="n"/>
    </row>
    <row r="63">
      <c r="A63" s="1" t="n"/>
      <c r="B63" s="1" t="n"/>
      <c r="C63" s="1" t="n"/>
      <c r="D63" s="1" t="n"/>
      <c r="E63" s="1" t="n"/>
      <c r="F63" s="1" t="n"/>
      <c r="G63" s="1" t="n"/>
      <c r="H63" s="1" t="n"/>
      <c r="I63" s="1" t="n"/>
      <c r="J63" s="1" t="n"/>
      <c r="K63" s="1" t="n"/>
      <c r="L63" s="1" t="n"/>
    </row>
    <row r="64">
      <c r="A64" s="1" t="n"/>
      <c r="B64" s="1" t="n"/>
      <c r="C64" s="1" t="n"/>
      <c r="D64" s="1" t="n"/>
      <c r="E64" s="1" t="n"/>
      <c r="F64" s="1" t="n"/>
      <c r="G64" s="1" t="n"/>
      <c r="H64" s="1" t="n"/>
      <c r="I64" s="1" t="n"/>
      <c r="J64" s="1" t="n"/>
      <c r="K64" s="1" t="n"/>
      <c r="L64" s="1" t="n"/>
    </row>
    <row r="65">
      <c r="A65" s="1" t="n"/>
      <c r="B65" s="1" t="n"/>
      <c r="C65" s="1" t="n"/>
      <c r="D65" s="1" t="n"/>
      <c r="E65" s="1" t="n"/>
      <c r="F65" s="1" t="n"/>
      <c r="G65" s="1" t="n"/>
      <c r="H65" s="1" t="n"/>
      <c r="I65" s="1" t="n"/>
      <c r="J65" s="1" t="n"/>
      <c r="K65" s="1" t="n"/>
      <c r="L65" s="1" t="n"/>
    </row>
    <row r="66">
      <c r="A66" s="1" t="n"/>
      <c r="B66" s="1" t="n"/>
      <c r="C66" s="1" t="n"/>
      <c r="D66" s="1" t="n"/>
      <c r="E66" s="1" t="n"/>
      <c r="F66" s="1" t="n"/>
      <c r="G66" s="1" t="n"/>
      <c r="H66" s="1" t="n"/>
      <c r="I66" s="1" t="n"/>
      <c r="J66" s="1" t="n"/>
      <c r="K66" s="1" t="n"/>
      <c r="L66" s="1" t="n"/>
    </row>
    <row r="67">
      <c r="A67" s="1" t="n"/>
      <c r="B67" s="1" t="n"/>
      <c r="C67" s="1" t="n"/>
      <c r="D67" s="1" t="n"/>
      <c r="E67" s="1" t="n"/>
      <c r="F67" s="1" t="n"/>
      <c r="G67" s="1" t="n"/>
      <c r="H67" s="1" t="n"/>
      <c r="I67" s="1" t="n"/>
      <c r="J67" s="1" t="n"/>
      <c r="K67" s="1" t="n"/>
      <c r="L67" s="1" t="n"/>
    </row>
    <row r="68">
      <c r="A68" s="1" t="n"/>
      <c r="B68" s="1" t="n"/>
      <c r="C68" s="1" t="n"/>
      <c r="D68" s="1" t="n"/>
      <c r="E68" s="1" t="n"/>
      <c r="F68" s="1" t="n"/>
      <c r="G68" s="1" t="n"/>
      <c r="H68" s="1" t="n"/>
      <c r="I68" s="1" t="n"/>
      <c r="J68" s="1" t="n"/>
      <c r="K68" s="1" t="n"/>
      <c r="L68" s="1" t="n"/>
    </row>
    <row r="69">
      <c r="A69" s="1" t="n"/>
      <c r="B69" s="1" t="n"/>
      <c r="C69" s="1" t="n"/>
      <c r="D69" s="1" t="n"/>
      <c r="E69" s="1" t="n"/>
      <c r="F69" s="1" t="n"/>
      <c r="G69" s="1" t="n"/>
      <c r="H69" s="1" t="n"/>
      <c r="I69" s="1" t="n"/>
      <c r="J69" s="1" t="n"/>
      <c r="K69" s="1" t="n"/>
      <c r="L69" s="1" t="n"/>
    </row>
    <row r="70">
      <c r="A70" s="1" t="n"/>
      <c r="B70" s="1" t="n"/>
      <c r="C70" s="1" t="n"/>
      <c r="D70" s="1" t="n"/>
      <c r="E70" s="1" t="n"/>
      <c r="F70" s="1" t="n"/>
      <c r="G70" s="1" t="n"/>
      <c r="H70" s="1" t="n"/>
      <c r="I70" s="1" t="n"/>
      <c r="J70" s="1" t="n"/>
      <c r="K70" s="1" t="n"/>
      <c r="L70" s="1" t="n"/>
    </row>
  </sheetData>
  <mergeCells count="20">
    <mergeCell ref="D10:E10"/>
    <mergeCell ref="G15:H16"/>
    <mergeCell ref="B15:C16"/>
    <mergeCell ref="D15:E16"/>
    <mergeCell ref="G10:H10"/>
    <mergeCell ref="B14:C14"/>
    <mergeCell ref="B2:J3"/>
    <mergeCell ref="I15:J16"/>
    <mergeCell ref="B10:C10"/>
    <mergeCell ref="G11:H12"/>
    <mergeCell ref="I11:J12"/>
    <mergeCell ref="G14:H14"/>
    <mergeCell ref="B4:J4"/>
    <mergeCell ref="I14:J14"/>
    <mergeCell ref="C6:E6"/>
    <mergeCell ref="B11:C12"/>
    <mergeCell ref="I10:J10"/>
    <mergeCell ref="D11:E12"/>
    <mergeCell ref="D14:E14"/>
    <mergeCell ref="B19:E19"/>
  </mergeCells>
  <dataValidations count="2">
    <dataValidation sqref="C6" showDropDown="0" showInputMessage="0" showErrorMessage="0" allowBlank="0" type="list">
      <formula1>=Dim_Entity!$B$2:$B$17</formula1>
    </dataValidation>
    <dataValidation sqref="H6" showDropDown="0" showInputMessage="0" showErrorMessage="0" allowBlank="0" type="list">
      <formula1>=Dim_Calendar!$A$2:$A$4</formula1>
    </dataValidation>
  </dataValidations>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0E7C7B"/>
    <outlinePr summaryBelow="1" summaryRight="1"/>
    <pageSetUpPr fitToPage="1"/>
  </sheetPr>
  <dimension ref="A1:M60"/>
  <sheetViews>
    <sheetView showGridLines="0" workbookViewId="0">
      <selection activeCell="A1" sqref="A1"/>
    </sheetView>
  </sheetViews>
  <sheetFormatPr baseColWidth="8" defaultRowHeight="15"/>
  <cols>
    <col width="3" customWidth="1" min="1" max="1"/>
    <col width="15" customWidth="1" min="2" max="2"/>
    <col width="15" customWidth="1" min="3" max="3"/>
    <col width="15" customWidth="1" min="4" max="4"/>
    <col width="15" customWidth="1" min="5" max="5"/>
    <col width="3" customWidth="1" min="6" max="6"/>
    <col width="15" customWidth="1" min="7" max="7"/>
    <col width="15" customWidth="1" min="8" max="8"/>
    <col width="15" customWidth="1" min="9" max="9"/>
    <col width="3" customWidth="1" min="10" max="10"/>
    <col width="15" customWidth="1" min="11" max="11"/>
    <col width="15" customWidth="1" min="12" max="12"/>
  </cols>
  <sheetData>
    <row r="1">
      <c r="A1" s="1" t="n"/>
      <c r="B1" s="1" t="n"/>
      <c r="C1" s="1" t="n"/>
      <c r="D1" s="1" t="n"/>
      <c r="E1" s="1" t="n"/>
      <c r="F1" s="1" t="n"/>
      <c r="G1" s="1" t="n"/>
      <c r="H1" s="1" t="n"/>
      <c r="I1" s="1" t="n"/>
      <c r="J1" s="1" t="n"/>
      <c r="K1" s="1" t="n"/>
      <c r="L1" s="1" t="n"/>
      <c r="M1" s="1" t="n"/>
    </row>
    <row r="2">
      <c r="A2" s="1" t="n"/>
      <c r="B2" s="2" t="inlineStr">
        <is>
          <t>RESTAURANT INDIAROSA 2 — CORPORATE TAXPREP EXPORT, CROSS-VALIDATED FIELDS ONLY</t>
        </is>
      </c>
      <c r="C2" s="3" t="n"/>
      <c r="D2" s="3" t="n"/>
      <c r="E2" s="3" t="n"/>
      <c r="F2" s="3" t="n"/>
      <c r="G2" s="3" t="n"/>
      <c r="H2" s="3" t="n"/>
      <c r="I2" s="3" t="n"/>
      <c r="J2" s="3" t="n"/>
      <c r="K2" s="1" t="n"/>
      <c r="L2" s="1" t="n"/>
      <c r="M2" s="1" t="n"/>
    </row>
    <row r="3">
      <c r="A3" s="1" t="n"/>
      <c r="B3" s="1" t="n"/>
      <c r="C3" s="1" t="n"/>
      <c r="D3" s="1" t="n"/>
      <c r="E3" s="1" t="n"/>
      <c r="F3" s="1" t="n"/>
      <c r="G3" s="1" t="n"/>
      <c r="H3" s="1" t="n"/>
      <c r="I3" s="1" t="n"/>
      <c r="J3" s="1" t="n"/>
      <c r="K3" s="1" t="n"/>
      <c r="L3" s="1" t="n"/>
      <c r="M3" s="1" t="n"/>
    </row>
    <row r="4">
      <c r="A4" s="1" t="n"/>
      <c r="B4" s="34" t="inlineStr">
        <is>
          <t>Tax Position — Restaurant IndiaRosa 2 &amp; Associated Group</t>
        </is>
      </c>
      <c r="M4" s="1" t="n"/>
    </row>
    <row r="5">
      <c r="A5" s="1" t="n"/>
      <c r="M5" s="1" t="n"/>
    </row>
    <row r="6">
      <c r="A6" s="1" t="n"/>
      <c r="B6" s="35" t="inlineStr">
        <is>
          <t>Every figure on this page was matched against an independently-known number before being trusted (per the handoff doc's validation rule) — nothing here is estimated or assumed.</t>
        </is>
      </c>
      <c r="M6" s="1" t="n"/>
    </row>
    <row r="7">
      <c r="A7" s="1" t="n"/>
      <c r="B7" s="1" t="n"/>
      <c r="C7" s="1" t="n"/>
      <c r="D7" s="1" t="n"/>
      <c r="E7" s="1" t="n"/>
      <c r="F7" s="1" t="n"/>
      <c r="G7" s="1" t="n"/>
      <c r="H7" s="1" t="n"/>
      <c r="I7" s="1" t="n"/>
      <c r="J7" s="1" t="n"/>
      <c r="K7" s="1" t="n"/>
      <c r="L7" s="1" t="n"/>
      <c r="M7" s="1" t="n"/>
    </row>
    <row r="8">
      <c r="A8" s="1" t="n"/>
      <c r="B8" s="7" t="inlineStr">
        <is>
          <t>INCOME TAX, FY2025</t>
        </is>
      </c>
      <c r="C8" s="8" t="n"/>
      <c r="D8" s="7" t="inlineStr">
        <is>
          <t>FY24 NI (ACCOUNTING)</t>
        </is>
      </c>
      <c r="E8" s="8" t="n"/>
      <c r="F8" s="7" t="inlineStr">
        <is>
          <t>FY24 NI (TAX BASIS)</t>
        </is>
      </c>
      <c r="G8" s="8" t="n"/>
      <c r="H8" s="7" t="inlineStr">
        <is>
          <t>NCL B/F, START FY23</t>
        </is>
      </c>
      <c r="I8" s="8" t="n"/>
      <c r="J8" s="1" t="n"/>
      <c r="K8" s="1" t="n"/>
      <c r="L8" s="1" t="n"/>
      <c r="M8" s="1" t="n"/>
    </row>
    <row r="9">
      <c r="A9" s="1" t="n"/>
      <c r="B9" s="9">
        <f>62548.0</f>
        <v/>
      </c>
      <c r="C9" s="8" t="n"/>
      <c r="D9" s="9">
        <f>736959.0</f>
        <v/>
      </c>
      <c r="E9" s="8" t="n"/>
      <c r="F9" s="9">
        <f>918366.0</f>
        <v/>
      </c>
      <c r="G9" s="8" t="n"/>
      <c r="H9" s="9">
        <f>412649.0</f>
        <v/>
      </c>
      <c r="I9" s="8" t="n"/>
      <c r="J9" s="1" t="n"/>
      <c r="K9" s="1" t="n"/>
      <c r="L9" s="1" t="n"/>
      <c r="M9" s="1" t="n"/>
    </row>
    <row r="10">
      <c r="A10" s="1" t="n"/>
      <c r="B10" s="8" t="n"/>
      <c r="C10" s="8" t="n"/>
      <c r="D10" s="8" t="n"/>
      <c r="E10" s="8" t="n"/>
      <c r="F10" s="8" t="n"/>
      <c r="G10" s="8" t="n"/>
      <c r="H10" s="8" t="n"/>
      <c r="I10" s="8" t="n"/>
      <c r="J10" s="1" t="n"/>
      <c r="K10" s="1" t="n"/>
      <c r="L10" s="1" t="n"/>
      <c r="M10" s="1" t="n"/>
    </row>
    <row r="11">
      <c r="A11" s="1" t="n"/>
      <c r="B11" s="12" t="inlineStr">
        <is>
          <t>Matches CaseWare WTB</t>
        </is>
      </c>
      <c r="D11" s="12" t="inlineStr">
        <is>
          <t>Matches CaseWare WTB</t>
        </is>
      </c>
      <c r="F11" s="12" t="inlineStr">
        <is>
          <t>Federal T2 — differs from NI</t>
        </is>
      </c>
      <c r="H11" s="12" t="inlineStr">
        <is>
          <t>Federal — QC: 423,312</t>
        </is>
      </c>
      <c r="J11" s="1" t="n"/>
      <c r="K11" s="1" t="n"/>
      <c r="L11" s="1" t="n"/>
      <c r="M11" s="1" t="n"/>
    </row>
    <row r="12">
      <c r="A12" s="1" t="n"/>
      <c r="B12" s="1" t="n"/>
      <c r="C12" s="1" t="n"/>
      <c r="D12" s="1" t="n"/>
      <c r="E12" s="1" t="n"/>
      <c r="F12" s="1" t="n"/>
      <c r="G12" s="1" t="n"/>
      <c r="H12" s="1" t="n"/>
      <c r="I12" s="1" t="n"/>
      <c r="J12" s="1" t="n"/>
      <c r="K12" s="1" t="n"/>
      <c r="L12" s="1" t="n"/>
      <c r="M12" s="1" t="n"/>
    </row>
    <row r="13">
      <c r="A13" s="1" t="n"/>
      <c r="B13" s="1" t="n"/>
      <c r="C13" s="1" t="n"/>
      <c r="D13" s="1" t="n"/>
      <c r="E13" s="1" t="n"/>
      <c r="F13" s="1" t="n"/>
      <c r="G13" s="1" t="n"/>
      <c r="H13" s="1" t="n"/>
      <c r="I13" s="1" t="n"/>
      <c r="J13" s="1" t="n"/>
      <c r="K13" s="1" t="n"/>
      <c r="L13" s="1" t="n"/>
      <c r="M13" s="1" t="n"/>
    </row>
    <row r="14">
      <c r="A14" s="1" t="n"/>
      <c r="B14" s="36" t="inlineStr">
        <is>
          <t>IndiaRosa 2 — Net income for tax purposes (Federal T2), 3-year</t>
        </is>
      </c>
      <c r="F14" s="1" t="n"/>
      <c r="G14" s="37" t="inlineStr">
        <is>
          <t>RDTOH / GRIP-CDA continuity</t>
        </is>
      </c>
      <c r="H14" s="8" t="n"/>
      <c r="I14" s="8" t="n"/>
      <c r="J14" s="8" t="n"/>
      <c r="K14" s="8" t="n"/>
      <c r="L14" s="8" t="n"/>
      <c r="M14" s="1" t="n"/>
    </row>
    <row r="15">
      <c r="A15" s="1" t="n"/>
      <c r="B15" s="32" t="inlineStr">
        <is>
          <t>Fiscal Year</t>
        </is>
      </c>
      <c r="C15" s="32" t="inlineStr">
        <is>
          <t>Net Income (tax basis)</t>
        </is>
      </c>
      <c r="D15" s="1" t="n"/>
      <c r="E15" s="1" t="n"/>
      <c r="F15" s="1" t="n"/>
      <c r="G15" s="38" t="inlineStr">
        <is>
          <t>RDTOH balance: NOT FOUND
CDA balance: NOT FOUND
Checked every field description in this export for “RDTOH”, “refundable dividend tax on hand”, “CDA”, and “capital dividend” — zero matches, even with “Rolled Forward Data” checked in Xpress Filter. Per the handoff, this may need a dedicated Schedule 3 (RDTOH) / CDA continuity pull rather than the general Xpress Filter export. Not guessed or estimated here.</t>
        </is>
      </c>
      <c r="H15" s="8" t="n"/>
      <c r="I15" s="8" t="n"/>
      <c r="J15" s="8" t="n"/>
      <c r="K15" s="8" t="n"/>
      <c r="L15" s="8" t="n"/>
      <c r="M15" s="1" t="n"/>
    </row>
    <row r="16">
      <c r="A16" s="1" t="n"/>
      <c r="B16" s="1" t="inlineStr">
        <is>
          <t>FY2022</t>
        </is>
      </c>
      <c r="C16" s="33" t="n">
        <v>-59186</v>
      </c>
      <c r="D16" s="1" t="n"/>
      <c r="E16" s="1" t="n"/>
      <c r="F16" s="1" t="n"/>
      <c r="G16" s="8" t="n"/>
      <c r="H16" s="8" t="n"/>
      <c r="I16" s="8" t="n"/>
      <c r="J16" s="8" t="n"/>
      <c r="K16" s="8" t="n"/>
      <c r="L16" s="8" t="n"/>
      <c r="M16" s="1" t="n"/>
    </row>
    <row r="17">
      <c r="A17" s="1" t="n"/>
      <c r="B17" s="1" t="inlineStr">
        <is>
          <t>FY2023</t>
        </is>
      </c>
      <c r="C17" s="33" t="n">
        <v>-1271829</v>
      </c>
      <c r="D17" s="1" t="n"/>
      <c r="E17" s="1" t="n"/>
      <c r="F17" s="1" t="n"/>
      <c r="G17" s="8" t="n"/>
      <c r="H17" s="8" t="n"/>
      <c r="I17" s="8" t="n"/>
      <c r="J17" s="8" t="n"/>
      <c r="K17" s="8" t="n"/>
      <c r="L17" s="8" t="n"/>
      <c r="M17" s="1" t="n"/>
    </row>
    <row r="18">
      <c r="A18" s="1" t="n"/>
      <c r="B18" s="1" t="inlineStr">
        <is>
          <t>FY2024</t>
        </is>
      </c>
      <c r="C18" s="33" t="n">
        <v>918366</v>
      </c>
      <c r="D18" s="1" t="n"/>
      <c r="E18" s="1" t="n"/>
      <c r="F18" s="1" t="n"/>
      <c r="G18" s="8" t="n"/>
      <c r="H18" s="8" t="n"/>
      <c r="I18" s="8" t="n"/>
      <c r="J18" s="8" t="n"/>
      <c r="K18" s="8" t="n"/>
      <c r="L18" s="8" t="n"/>
      <c r="M18" s="1" t="n"/>
    </row>
    <row r="19">
      <c r="A19" s="1" t="n"/>
      <c r="B19" s="1" t="n"/>
      <c r="C19" s="1" t="n"/>
      <c r="D19" s="1" t="n"/>
      <c r="E19" s="1" t="n"/>
      <c r="F19" s="1" t="n"/>
      <c r="G19" s="8" t="n"/>
      <c r="H19" s="8" t="n"/>
      <c r="I19" s="8" t="n"/>
      <c r="J19" s="8" t="n"/>
      <c r="K19" s="8" t="n"/>
      <c r="L19" s="8" t="n"/>
      <c r="M19" s="1" t="n"/>
    </row>
    <row r="20">
      <c r="A20" s="1" t="n"/>
      <c r="B20" s="39" t="inlineStr">
        <is>
          <t>Not the formal 'Taxable Income' line (loss-carryforward application isn't shown in this export) — this is 'Net income for income tax purposes' per the T2. Genuinely differs from accounting net income; not treated as interchangeable.</t>
        </is>
      </c>
      <c r="F20" s="1" t="n"/>
      <c r="G20" s="1" t="n"/>
      <c r="H20" s="1" t="n"/>
      <c r="I20" s="1" t="n"/>
      <c r="J20" s="1" t="n"/>
      <c r="K20" s="1" t="n"/>
      <c r="L20" s="1" t="n"/>
      <c r="M20" s="1" t="n"/>
    </row>
    <row r="21">
      <c r="A21" s="1" t="n"/>
      <c r="F21" s="1" t="n"/>
      <c r="G21" s="1" t="n"/>
      <c r="H21" s="1" t="n"/>
      <c r="I21" s="1" t="n"/>
      <c r="J21" s="1" t="n"/>
      <c r="K21" s="1" t="n"/>
      <c r="L21" s="1" t="n"/>
      <c r="M21" s="1" t="n"/>
    </row>
    <row r="22">
      <c r="A22" s="1" t="n"/>
      <c r="B22" s="1" t="n"/>
      <c r="C22" s="1" t="n"/>
      <c r="D22" s="1" t="n"/>
      <c r="E22" s="1" t="n"/>
      <c r="F22" s="1" t="n"/>
      <c r="G22" s="1" t="n"/>
      <c r="H22" s="1" t="n"/>
      <c r="I22" s="1" t="n"/>
      <c r="J22" s="1" t="n"/>
      <c r="K22" s="1" t="n"/>
      <c r="L22" s="1" t="n"/>
      <c r="M22" s="1" t="n"/>
    </row>
    <row r="23">
      <c r="A23" s="1" t="n"/>
      <c r="B23" s="36" t="inlineStr">
        <is>
          <t>Associated Group — SBD &amp; GRIP (from IndiaRosa 2's Taxprep SLIPA schedule, current year)</t>
        </is>
      </c>
      <c r="M23" s="1" t="n"/>
    </row>
    <row r="24">
      <c r="A24" s="1" t="n"/>
      <c r="B24" s="40" t="inlineStr">
        <is>
          <t>Excludes IndiaRosa 2's own SBD claim — not found in this export.</t>
        </is>
      </c>
      <c r="M24" s="1" t="n"/>
    </row>
    <row r="25">
      <c r="A25" s="1" t="n"/>
      <c r="B25" s="41" t="inlineStr">
        <is>
          <t>Entity</t>
        </is>
      </c>
      <c r="C25" s="41" t="inlineStr">
        <is>
          <t>Net Income (tax)</t>
        </is>
      </c>
      <c r="D25" s="41" t="inlineStr">
        <is>
          <t>Part I Tax</t>
        </is>
      </c>
      <c r="E25" s="41" t="inlineStr">
        <is>
          <t>SBD</t>
        </is>
      </c>
      <c r="F25" s="1" t="n"/>
      <c r="G25" s="41" t="inlineStr">
        <is>
          <t>GRIP</t>
        </is>
      </c>
      <c r="H25" s="1" t="n"/>
      <c r="I25" s="1" t="n"/>
      <c r="J25" s="1" t="n"/>
      <c r="K25" s="1" t="n"/>
      <c r="L25" s="1" t="n"/>
      <c r="M25" s="1" t="n"/>
    </row>
    <row r="26">
      <c r="A26" s="1" t="n"/>
      <c r="B26" s="42" t="inlineStr">
        <is>
          <t>9357-7427 Québec Inc.</t>
        </is>
      </c>
      <c r="C26" s="43" t="n">
        <v>-3147</v>
      </c>
      <c r="D26" s="43" t="n">
        <v>0</v>
      </c>
      <c r="E26" s="43" t="n">
        <v>0</v>
      </c>
      <c r="F26" s="1" t="n"/>
      <c r="G26" s="43" t="n">
        <v>0</v>
      </c>
      <c r="H26" s="1" t="n"/>
      <c r="I26" s="1" t="n"/>
      <c r="J26" s="1" t="n"/>
      <c r="K26" s="1" t="n"/>
      <c r="L26" s="1" t="n"/>
      <c r="M26" s="1" t="n"/>
    </row>
    <row r="27">
      <c r="A27" s="1" t="n"/>
      <c r="B27" s="42" t="inlineStr">
        <is>
          <t>9366-1676 Quebec Inc.</t>
        </is>
      </c>
      <c r="C27" s="43" t="n">
        <v>-665484</v>
      </c>
      <c r="D27" s="43" t="n">
        <v>0</v>
      </c>
      <c r="E27" s="43" t="n">
        <v>0</v>
      </c>
      <c r="F27" s="1" t="n"/>
      <c r="G27" s="43" t="n">
        <v>0</v>
      </c>
      <c r="H27" s="1" t="n"/>
      <c r="I27" s="1" t="n"/>
      <c r="J27" s="1" t="n"/>
      <c r="K27" s="1" t="n"/>
      <c r="L27" s="1" t="n"/>
      <c r="M27" s="1" t="n"/>
    </row>
    <row r="28">
      <c r="A28" s="1" t="n"/>
      <c r="B28" s="42" t="inlineStr">
        <is>
          <t>9425-4547 Québec Inc.</t>
        </is>
      </c>
      <c r="C28" s="43" t="n">
        <v>112788</v>
      </c>
      <c r="D28" s="43" t="n">
        <v>12155</v>
      </c>
      <c r="E28" s="43" t="n">
        <v>20146</v>
      </c>
      <c r="F28" s="1" t="n"/>
      <c r="G28" s="43" t="n">
        <v>29568</v>
      </c>
      <c r="H28" s="1" t="n"/>
      <c r="I28" s="1" t="n"/>
      <c r="J28" s="1" t="n"/>
      <c r="K28" s="1" t="n"/>
      <c r="L28" s="1" t="n"/>
      <c r="M28" s="1" t="n"/>
    </row>
    <row r="29">
      <c r="A29" s="1" t="n"/>
      <c r="B29" s="42" t="inlineStr">
        <is>
          <t>9455-4169 Quebec Inc.</t>
        </is>
      </c>
      <c r="C29" s="43" t="n">
        <v>-3065</v>
      </c>
      <c r="D29" s="43" t="n">
        <v>0</v>
      </c>
      <c r="E29" s="43" t="n">
        <v>0</v>
      </c>
      <c r="F29" s="1" t="n"/>
      <c r="G29" s="43" t="n">
        <v>0</v>
      </c>
      <c r="H29" s="1" t="n"/>
      <c r="I29" s="1" t="n"/>
      <c r="J29" s="1" t="n"/>
      <c r="K29" s="1" t="n"/>
      <c r="L29" s="1" t="n"/>
      <c r="M29" s="1" t="n"/>
    </row>
    <row r="30">
      <c r="A30" s="1" t="n"/>
      <c r="B30" s="42" t="inlineStr">
        <is>
          <t>9455-4177 Quebec Inc.</t>
        </is>
      </c>
      <c r="C30" s="43" t="n">
        <v>-3015</v>
      </c>
      <c r="D30" s="43" t="n">
        <v>0</v>
      </c>
      <c r="E30" s="43" t="n">
        <v>0</v>
      </c>
      <c r="F30" s="1" t="n"/>
      <c r="G30" s="43" t="n">
        <v>0</v>
      </c>
      <c r="H30" s="1" t="n"/>
      <c r="I30" s="1" t="n"/>
      <c r="J30" s="1" t="n"/>
      <c r="K30" s="1" t="n"/>
      <c r="L30" s="1" t="n"/>
      <c r="M30" s="1" t="n"/>
    </row>
    <row r="31">
      <c r="A31" s="1" t="n"/>
      <c r="B31" s="42" t="inlineStr">
        <is>
          <t>9455-4201 Quebec inc.</t>
        </is>
      </c>
      <c r="C31" s="43" t="n">
        <v>577222</v>
      </c>
      <c r="D31" s="43" t="n">
        <v>0</v>
      </c>
      <c r="E31" s="43" t="n">
        <v>0</v>
      </c>
      <c r="F31" s="1" t="n"/>
      <c r="G31" s="43" t="n">
        <v>0</v>
      </c>
      <c r="H31" s="1" t="n"/>
      <c r="I31" s="1" t="n"/>
      <c r="J31" s="1" t="n"/>
      <c r="K31" s="1" t="n"/>
      <c r="L31" s="1" t="n"/>
      <c r="M31" s="1" t="n"/>
    </row>
    <row r="32">
      <c r="A32" s="1" t="n"/>
      <c r="B32" s="42" t="inlineStr">
        <is>
          <t>9108-6876 Quebec Inc.</t>
        </is>
      </c>
      <c r="C32" s="43" t="n">
        <v>390551</v>
      </c>
      <c r="D32" s="43" t="n">
        <v>8318</v>
      </c>
      <c r="E32" s="43" t="n">
        <v>16540</v>
      </c>
      <c r="F32" s="1" t="n"/>
      <c r="G32" s="43" t="n">
        <v>2325</v>
      </c>
      <c r="H32" s="1" t="n"/>
      <c r="I32" s="1" t="n"/>
      <c r="J32" s="1" t="n"/>
      <c r="K32" s="1" t="n"/>
      <c r="L32" s="1" t="n"/>
      <c r="M32" s="1" t="n"/>
    </row>
    <row r="33">
      <c r="A33" s="1" t="n"/>
      <c r="B33" s="42" t="inlineStr">
        <is>
          <t>Bistro Guru Inc.</t>
        </is>
      </c>
      <c r="C33" s="43" t="n">
        <v>-32467</v>
      </c>
      <c r="D33" s="43" t="n">
        <v>0</v>
      </c>
      <c r="E33" s="43" t="n">
        <v>0</v>
      </c>
      <c r="F33" s="1" t="n"/>
      <c r="G33" s="43" t="n">
        <v>0</v>
      </c>
      <c r="H33" s="1" t="n"/>
      <c r="I33" s="1" t="n"/>
      <c r="J33" s="1" t="n"/>
      <c r="K33" s="1" t="n"/>
      <c r="L33" s="1" t="n"/>
      <c r="M33" s="1" t="n"/>
    </row>
    <row r="34">
      <c r="A34" s="1" t="n"/>
      <c r="B34" s="42" t="inlineStr">
        <is>
          <t>9096-0436 Quebec Inc.</t>
        </is>
      </c>
      <c r="C34" s="43" t="n">
        <v>-21235</v>
      </c>
      <c r="D34" s="43" t="n">
        <v>0</v>
      </c>
      <c r="E34" s="43" t="n">
        <v>0</v>
      </c>
      <c r="F34" s="1" t="n"/>
      <c r="G34" s="43" t="n">
        <v>0</v>
      </c>
      <c r="H34" s="1" t="n"/>
      <c r="I34" s="1" t="n"/>
      <c r="J34" s="1" t="n"/>
      <c r="K34" s="1" t="n"/>
      <c r="L34" s="1" t="n"/>
      <c r="M34" s="1" t="n"/>
    </row>
    <row r="35">
      <c r="A35" s="1" t="n"/>
      <c r="B35" s="42" t="inlineStr">
        <is>
          <t>9366-1049 Québec Inc.</t>
        </is>
      </c>
      <c r="C35" s="43" t="n">
        <v>312963</v>
      </c>
      <c r="D35" s="43" t="n">
        <v>35338</v>
      </c>
      <c r="E35" s="43" t="n">
        <v>36755</v>
      </c>
      <c r="F35" s="1" t="n"/>
      <c r="G35" s="43" t="n">
        <v>229599</v>
      </c>
      <c r="H35" s="1" t="n"/>
      <c r="I35" s="1" t="n"/>
      <c r="J35" s="1" t="n"/>
      <c r="K35" s="1" t="n"/>
      <c r="L35" s="1" t="n"/>
      <c r="M35" s="1" t="n"/>
    </row>
    <row r="36">
      <c r="A36" s="1" t="n"/>
      <c r="B36" s="42" t="inlineStr">
        <is>
          <t>9098-0558 Quebec Inc.</t>
        </is>
      </c>
      <c r="C36" s="43" t="n">
        <v>-13045</v>
      </c>
      <c r="D36" s="43" t="n">
        <v>0</v>
      </c>
      <c r="E36" s="43" t="n">
        <v>0</v>
      </c>
      <c r="F36" s="1" t="n"/>
      <c r="G36" s="43" t="n">
        <v>0</v>
      </c>
      <c r="H36" s="1" t="n"/>
      <c r="I36" s="1" t="n"/>
      <c r="J36" s="1" t="n"/>
      <c r="K36" s="1" t="n"/>
      <c r="L36" s="1" t="n"/>
      <c r="M36" s="1" t="n"/>
    </row>
    <row r="37">
      <c r="A37" s="1" t="n"/>
      <c r="B37" s="42" t="inlineStr">
        <is>
          <t>2749-8567 Quebec Inc.</t>
        </is>
      </c>
      <c r="C37" s="43" t="n">
        <v>28760</v>
      </c>
      <c r="D37" s="43" t="n">
        <v>2864</v>
      </c>
      <c r="E37" s="43" t="n">
        <v>4594</v>
      </c>
      <c r="F37" s="1" t="n"/>
      <c r="G37" s="43" t="n">
        <v>3297</v>
      </c>
      <c r="H37" s="1" t="n"/>
      <c r="I37" s="1" t="n"/>
      <c r="J37" s="1" t="n"/>
      <c r="K37" s="1" t="n"/>
      <c r="L37" s="1" t="n"/>
      <c r="M37" s="1" t="n"/>
    </row>
    <row r="38">
      <c r="A38" s="1" t="n"/>
      <c r="B38" s="42" t="inlineStr">
        <is>
          <t>9504-7510 Québec Inc.</t>
        </is>
      </c>
      <c r="C38" s="43" t="n">
        <v>-465609</v>
      </c>
      <c r="D38" s="43" t="n">
        <v>0</v>
      </c>
      <c r="E38" s="43" t="n">
        <v>0</v>
      </c>
      <c r="F38" s="1" t="n"/>
      <c r="G38" s="43" t="n">
        <v>0</v>
      </c>
      <c r="H38" s="1" t="n"/>
      <c r="I38" s="1" t="n"/>
      <c r="J38" s="1" t="n"/>
      <c r="K38" s="1" t="n"/>
      <c r="L38" s="1" t="n"/>
      <c r="M38" s="1" t="n"/>
    </row>
    <row r="39">
      <c r="A39" s="1" t="n"/>
      <c r="B39" s="42" t="inlineStr">
        <is>
          <t>9525-2854 Québec Inc.</t>
        </is>
      </c>
      <c r="C39" s="43" t="n">
        <v>-55143</v>
      </c>
      <c r="D39" s="43" t="n">
        <v>0</v>
      </c>
      <c r="E39" s="43" t="n">
        <v>0</v>
      </c>
      <c r="F39" s="1" t="n"/>
      <c r="G39" s="43" t="n">
        <v>0</v>
      </c>
      <c r="H39" s="1" t="n"/>
      <c r="I39" s="1" t="n"/>
      <c r="J39" s="1" t="n"/>
      <c r="K39" s="1" t="n"/>
      <c r="L39" s="1" t="n"/>
      <c r="M39" s="1" t="n"/>
    </row>
    <row r="40">
      <c r="A40" s="1" t="n"/>
      <c r="B40" s="44" t="inlineStr">
        <is>
          <t>Total</t>
        </is>
      </c>
      <c r="C40" s="45">
        <f>SUM(C26:C39)</f>
        <v/>
      </c>
      <c r="D40" s="45">
        <f>SUM(D26:D39)</f>
        <v/>
      </c>
      <c r="E40" s="45">
        <f>SUM(E26:E39)</f>
        <v/>
      </c>
      <c r="F40" s="1" t="n"/>
      <c r="G40" s="45">
        <f>SUM(G26:G39)</f>
        <v/>
      </c>
      <c r="H40" s="1" t="n"/>
      <c r="I40" s="1" t="n"/>
      <c r="J40" s="1" t="n"/>
      <c r="K40" s="1" t="n"/>
      <c r="L40" s="1" t="n"/>
      <c r="M40" s="1" t="n"/>
    </row>
    <row r="41">
      <c r="A41" s="1" t="n"/>
      <c r="B41" s="1" t="n"/>
      <c r="C41" s="1" t="n"/>
      <c r="D41" s="1" t="n"/>
      <c r="E41" s="1" t="n"/>
      <c r="F41" s="1" t="n"/>
      <c r="G41" s="1" t="n"/>
      <c r="H41" s="1" t="n"/>
      <c r="I41" s="1" t="n"/>
      <c r="J41" s="1" t="n"/>
      <c r="K41" s="1" t="n"/>
      <c r="L41" s="1" t="n"/>
      <c r="M41" s="1" t="n"/>
    </row>
    <row r="42">
      <c r="A42" s="1" t="n"/>
      <c r="B42" s="1" t="n"/>
      <c r="C42" s="1" t="n"/>
      <c r="D42" s="1" t="n"/>
      <c r="E42" s="1" t="n"/>
      <c r="F42" s="1" t="n"/>
      <c r="G42" s="1" t="n"/>
      <c r="H42" s="1" t="n"/>
      <c r="I42" s="1" t="n"/>
      <c r="J42" s="1" t="n"/>
      <c r="K42" s="1" t="n"/>
      <c r="L42" s="1" t="n"/>
      <c r="M42" s="1" t="n"/>
    </row>
    <row r="43">
      <c r="A43" s="1" t="n"/>
      <c r="B43" s="1" t="n"/>
      <c r="C43" s="1" t="n"/>
      <c r="D43" s="1" t="n"/>
      <c r="E43" s="1" t="n"/>
      <c r="F43" s="1" t="n"/>
      <c r="G43" s="1" t="n"/>
      <c r="H43" s="1" t="n"/>
      <c r="I43" s="1" t="n"/>
      <c r="J43" s="1" t="n"/>
      <c r="K43" s="1" t="n"/>
      <c r="L43" s="1" t="n"/>
      <c r="M43" s="1" t="n"/>
    </row>
    <row r="44">
      <c r="A44" s="1" t="n"/>
      <c r="B44" s="1" t="n"/>
      <c r="C44" s="1" t="n"/>
      <c r="D44" s="1" t="n"/>
      <c r="E44" s="1" t="n"/>
      <c r="F44" s="1" t="n"/>
      <c r="G44" s="1" t="n"/>
      <c r="H44" s="1" t="n"/>
      <c r="I44" s="1" t="n"/>
      <c r="J44" s="1" t="n"/>
      <c r="K44" s="1" t="n"/>
      <c r="L44" s="1" t="n"/>
      <c r="M44" s="1" t="n"/>
    </row>
    <row r="45">
      <c r="A45" s="1" t="n"/>
      <c r="B45" s="1" t="n"/>
      <c r="C45" s="1" t="n"/>
      <c r="D45" s="1" t="n"/>
      <c r="E45" s="1" t="n"/>
      <c r="F45" s="1" t="n"/>
      <c r="G45" s="1" t="n"/>
      <c r="H45" s="1" t="n"/>
      <c r="I45" s="1" t="n"/>
      <c r="J45" s="1" t="n"/>
      <c r="K45" s="1" t="n"/>
      <c r="L45" s="1" t="n"/>
      <c r="M45" s="1" t="n"/>
    </row>
    <row r="46">
      <c r="A46" s="1" t="n"/>
      <c r="B46" s="1" t="n"/>
      <c r="C46" s="1" t="n"/>
      <c r="D46" s="1" t="n"/>
      <c r="E46" s="1" t="n"/>
      <c r="F46" s="1" t="n"/>
      <c r="G46" s="1" t="n"/>
      <c r="H46" s="1" t="n"/>
      <c r="I46" s="1" t="n"/>
      <c r="J46" s="1" t="n"/>
      <c r="K46" s="1" t="n"/>
      <c r="L46" s="1" t="n"/>
      <c r="M46" s="1" t="n"/>
    </row>
    <row r="47">
      <c r="A47" s="1" t="n"/>
      <c r="B47" s="1" t="n"/>
      <c r="C47" s="1" t="n"/>
      <c r="D47" s="1" t="n"/>
      <c r="E47" s="1" t="n"/>
      <c r="F47" s="1" t="n"/>
      <c r="G47" s="1" t="n"/>
      <c r="H47" s="1" t="n"/>
      <c r="I47" s="1" t="n"/>
      <c r="J47" s="1" t="n"/>
      <c r="K47" s="1" t="n"/>
      <c r="L47" s="1" t="n"/>
      <c r="M47" s="1" t="n"/>
    </row>
    <row r="48">
      <c r="A48" s="1" t="n"/>
      <c r="B48" s="1" t="n"/>
      <c r="C48" s="1" t="n"/>
      <c r="D48" s="1" t="n"/>
      <c r="E48" s="1" t="n"/>
      <c r="F48" s="1" t="n"/>
      <c r="G48" s="1" t="n"/>
      <c r="H48" s="1" t="n"/>
      <c r="I48" s="1" t="n"/>
      <c r="J48" s="1" t="n"/>
      <c r="K48" s="1" t="n"/>
      <c r="L48" s="1" t="n"/>
      <c r="M48" s="1" t="n"/>
    </row>
    <row r="49">
      <c r="A49" s="1" t="n"/>
      <c r="B49" s="1" t="n"/>
      <c r="C49" s="1" t="n"/>
      <c r="D49" s="1" t="n"/>
      <c r="E49" s="1" t="n"/>
      <c r="F49" s="1" t="n"/>
      <c r="G49" s="1" t="n"/>
      <c r="H49" s="1" t="n"/>
      <c r="I49" s="1" t="n"/>
      <c r="J49" s="1" t="n"/>
      <c r="K49" s="1" t="n"/>
      <c r="L49" s="1" t="n"/>
      <c r="M49" s="1" t="n"/>
    </row>
    <row r="50">
      <c r="A50" s="1" t="n"/>
      <c r="B50" s="1" t="n"/>
      <c r="C50" s="1" t="n"/>
      <c r="D50" s="1" t="n"/>
      <c r="E50" s="1" t="n"/>
      <c r="F50" s="1" t="n"/>
      <c r="G50" s="1" t="n"/>
      <c r="H50" s="1" t="n"/>
      <c r="I50" s="1" t="n"/>
      <c r="J50" s="1" t="n"/>
      <c r="K50" s="1" t="n"/>
      <c r="L50" s="1" t="n"/>
      <c r="M50" s="1" t="n"/>
    </row>
    <row r="51">
      <c r="A51" s="1" t="n"/>
      <c r="B51" s="1" t="n"/>
      <c r="C51" s="1" t="n"/>
      <c r="D51" s="1" t="n"/>
      <c r="E51" s="1" t="n"/>
      <c r="F51" s="1" t="n"/>
      <c r="G51" s="1" t="n"/>
      <c r="H51" s="1" t="n"/>
      <c r="I51" s="1" t="n"/>
      <c r="J51" s="1" t="n"/>
      <c r="K51" s="1" t="n"/>
      <c r="L51" s="1" t="n"/>
      <c r="M51" s="1" t="n"/>
    </row>
    <row r="52">
      <c r="A52" s="1" t="n"/>
      <c r="B52" s="1" t="n"/>
      <c r="C52" s="1" t="n"/>
      <c r="D52" s="1" t="n"/>
      <c r="E52" s="1" t="n"/>
      <c r="F52" s="1" t="n"/>
      <c r="G52" s="1" t="n"/>
      <c r="H52" s="1" t="n"/>
      <c r="I52" s="1" t="n"/>
      <c r="J52" s="1" t="n"/>
      <c r="K52" s="1" t="n"/>
      <c r="L52" s="1" t="n"/>
      <c r="M52" s="1" t="n"/>
    </row>
    <row r="53">
      <c r="A53" s="1" t="n"/>
      <c r="B53" s="1" t="n"/>
      <c r="C53" s="1" t="n"/>
      <c r="D53" s="1" t="n"/>
      <c r="E53" s="1" t="n"/>
      <c r="F53" s="1" t="n"/>
      <c r="G53" s="1" t="n"/>
      <c r="H53" s="1" t="n"/>
      <c r="I53" s="1" t="n"/>
      <c r="J53" s="1" t="n"/>
      <c r="K53" s="1" t="n"/>
      <c r="L53" s="1" t="n"/>
      <c r="M53" s="1" t="n"/>
    </row>
    <row r="54">
      <c r="A54" s="1" t="n"/>
      <c r="B54" s="1" t="n"/>
      <c r="C54" s="1" t="n"/>
      <c r="D54" s="1" t="n"/>
      <c r="E54" s="1" t="n"/>
      <c r="F54" s="1" t="n"/>
      <c r="G54" s="1" t="n"/>
      <c r="H54" s="1" t="n"/>
      <c r="I54" s="1" t="n"/>
      <c r="J54" s="1" t="n"/>
      <c r="K54" s="1" t="n"/>
      <c r="L54" s="1" t="n"/>
      <c r="M54" s="1" t="n"/>
    </row>
    <row r="55">
      <c r="A55" s="1" t="n"/>
      <c r="B55" s="1" t="n"/>
      <c r="C55" s="1" t="n"/>
      <c r="D55" s="1" t="n"/>
      <c r="E55" s="1" t="n"/>
      <c r="F55" s="1" t="n"/>
      <c r="G55" s="1" t="n"/>
      <c r="H55" s="1" t="n"/>
      <c r="I55" s="1" t="n"/>
      <c r="J55" s="1" t="n"/>
      <c r="K55" s="1" t="n"/>
      <c r="L55" s="1" t="n"/>
      <c r="M55" s="1" t="n"/>
    </row>
    <row r="56">
      <c r="A56" s="1" t="n"/>
      <c r="B56" s="1" t="n"/>
      <c r="C56" s="1" t="n"/>
      <c r="D56" s="1" t="n"/>
      <c r="E56" s="1" t="n"/>
      <c r="F56" s="1" t="n"/>
      <c r="G56" s="1" t="n"/>
      <c r="H56" s="1" t="n"/>
      <c r="I56" s="1" t="n"/>
      <c r="J56" s="1" t="n"/>
      <c r="K56" s="1" t="n"/>
      <c r="L56" s="1" t="n"/>
      <c r="M56" s="1" t="n"/>
    </row>
    <row r="57">
      <c r="A57" s="1" t="n"/>
      <c r="B57" s="1" t="n"/>
      <c r="C57" s="1" t="n"/>
      <c r="D57" s="1" t="n"/>
      <c r="E57" s="1" t="n"/>
      <c r="F57" s="1" t="n"/>
      <c r="G57" s="1" t="n"/>
      <c r="H57" s="1" t="n"/>
      <c r="I57" s="1" t="n"/>
      <c r="J57" s="1" t="n"/>
      <c r="K57" s="1" t="n"/>
      <c r="L57" s="1" t="n"/>
      <c r="M57" s="1" t="n"/>
    </row>
    <row r="58">
      <c r="A58" s="1" t="n"/>
      <c r="B58" s="1" t="n"/>
      <c r="C58" s="1" t="n"/>
      <c r="D58" s="1" t="n"/>
      <c r="E58" s="1" t="n"/>
      <c r="F58" s="1" t="n"/>
      <c r="G58" s="1" t="n"/>
      <c r="H58" s="1" t="n"/>
      <c r="I58" s="1" t="n"/>
      <c r="J58" s="1" t="n"/>
      <c r="K58" s="1" t="n"/>
      <c r="L58" s="1" t="n"/>
      <c r="M58" s="1" t="n"/>
    </row>
    <row r="59">
      <c r="A59" s="1" t="n"/>
      <c r="B59" s="1" t="n"/>
      <c r="C59" s="1" t="n"/>
      <c r="D59" s="1" t="n"/>
      <c r="E59" s="1" t="n"/>
      <c r="F59" s="1" t="n"/>
      <c r="G59" s="1" t="n"/>
      <c r="H59" s="1" t="n"/>
      <c r="I59" s="1" t="n"/>
      <c r="J59" s="1" t="n"/>
      <c r="K59" s="1" t="n"/>
      <c r="L59" s="1" t="n"/>
      <c r="M59" s="1" t="n"/>
    </row>
    <row r="60">
      <c r="A60" s="1" t="n"/>
      <c r="B60" s="1" t="n"/>
      <c r="C60" s="1" t="n"/>
      <c r="D60" s="1" t="n"/>
      <c r="E60" s="1" t="n"/>
      <c r="F60" s="1" t="n"/>
      <c r="G60" s="1" t="n"/>
      <c r="H60" s="1" t="n"/>
      <c r="I60" s="1" t="n"/>
      <c r="J60" s="1" t="n"/>
      <c r="K60" s="1" t="n"/>
      <c r="L60" s="1" t="n"/>
      <c r="M60" s="1" t="n"/>
    </row>
  </sheetData>
  <mergeCells count="21">
    <mergeCell ref="F11:G11"/>
    <mergeCell ref="B9:C10"/>
    <mergeCell ref="D9:E10"/>
    <mergeCell ref="F9:G10"/>
    <mergeCell ref="B11:C11"/>
    <mergeCell ref="G14:L14"/>
    <mergeCell ref="D11:E11"/>
    <mergeCell ref="G15:L19"/>
    <mergeCell ref="B8:C8"/>
    <mergeCell ref="B23:L23"/>
    <mergeCell ref="F8:G8"/>
    <mergeCell ref="H11:I11"/>
    <mergeCell ref="B4:L5"/>
    <mergeCell ref="B20:E21"/>
    <mergeCell ref="B14:E14"/>
    <mergeCell ref="H9:I10"/>
    <mergeCell ref="D8:E8"/>
    <mergeCell ref="B6:L6"/>
    <mergeCell ref="B24:L24"/>
    <mergeCell ref="H8:I8"/>
    <mergeCell ref="B2:J2"/>
  </mergeCells>
  <printOptions horizontalCentered="0"/>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1C2B45"/>
    <outlinePr summaryBelow="1" summaryRight="1"/>
    <pageSetUpPr fitToPage="1"/>
  </sheetPr>
  <dimension ref="A1:L25"/>
  <sheetViews>
    <sheetView showGridLines="0" workbookViewId="0">
      <pane ySplit="4" topLeftCell="A5" activePane="bottomLeft" state="frozen"/>
      <selection pane="bottomLeft" activeCell="A1" sqref="A1"/>
    </sheetView>
  </sheetViews>
  <sheetFormatPr baseColWidth="8" defaultRowHeight="15"/>
  <cols>
    <col width="26" customWidth="1" min="1" max="1"/>
    <col width="18" customWidth="1" min="2" max="2"/>
    <col width="14" customWidth="1" min="3" max="3"/>
    <col width="14" customWidth="1" min="4" max="4"/>
    <col width="14" customWidth="1" min="5" max="5"/>
    <col width="14" customWidth="1" min="6" max="6"/>
    <col width="16" customWidth="1" min="7" max="7"/>
    <col width="14" customWidth="1" min="8" max="8"/>
    <col width="12" customWidth="1" min="9" max="9"/>
    <col width="14" customWidth="1" min="10" max="10"/>
    <col width="14" customWidth="1" min="11" max="11"/>
  </cols>
  <sheetData>
    <row r="1">
      <c r="A1" s="31" t="inlineStr">
        <is>
          <t>Entity Register — driven by 02 Profitability's fiscal-year selector</t>
        </is>
      </c>
      <c r="B1" s="20" t="n"/>
      <c r="C1" s="20" t="n"/>
      <c r="D1" s="20" t="n"/>
      <c r="E1" s="20" t="n"/>
      <c r="F1" s="20" t="n"/>
      <c r="G1" s="20" t="n"/>
      <c r="H1" s="20" t="n"/>
      <c r="I1" s="20" t="n"/>
      <c r="J1" s="20" t="n"/>
      <c r="K1" s="20" t="n"/>
      <c r="L1" s="1" t="n"/>
    </row>
    <row r="2">
      <c r="B2" s="20" t="n"/>
      <c r="C2" s="20" t="n"/>
      <c r="D2" s="20" t="n"/>
      <c r="E2" s="20" t="n"/>
      <c r="F2" s="20" t="n"/>
      <c r="G2" s="20" t="n"/>
      <c r="H2" s="20" t="n"/>
      <c r="I2" s="20" t="n"/>
      <c r="J2" s="20" t="n"/>
      <c r="K2" s="20" t="n"/>
      <c r="L2" s="1" t="n"/>
    </row>
    <row r="3">
      <c r="A3" s="1" t="n"/>
      <c r="B3" s="1" t="n"/>
      <c r="C3" s="1" t="n"/>
      <c r="D3" s="1" t="n"/>
      <c r="E3" s="1" t="n"/>
      <c r="F3" s="1" t="n"/>
      <c r="G3" s="1" t="n"/>
      <c r="H3" s="1" t="n"/>
      <c r="I3" s="1" t="n"/>
      <c r="J3" s="1" t="n"/>
      <c r="K3" s="1" t="n"/>
      <c r="L3" s="1" t="n"/>
    </row>
    <row r="4">
      <c r="A4" s="32" t="inlineStr">
        <is>
          <t>EntityName</t>
        </is>
      </c>
      <c r="B4" s="32" t="inlineStr">
        <is>
          <t>Segment</t>
        </is>
      </c>
      <c r="C4" s="32" t="inlineStr">
        <is>
          <t>Revenue</t>
        </is>
      </c>
      <c r="D4" s="32" t="inlineStr">
        <is>
          <t>COGS</t>
        </is>
      </c>
      <c r="E4" s="32" t="inlineStr">
        <is>
          <t>Payroll</t>
        </is>
      </c>
      <c r="F4" s="32" t="inlineStr">
        <is>
          <t>Occupancy</t>
        </is>
      </c>
      <c r="G4" s="32" t="inlineStr">
        <is>
          <t>Interest &amp; Financing</t>
        </is>
      </c>
      <c r="H4" s="32" t="inlineStr">
        <is>
          <t>Amortization</t>
        </is>
      </c>
      <c r="I4" s="32" t="inlineStr">
        <is>
          <t>Income Tax</t>
        </is>
      </c>
      <c r="J4" s="32" t="inlineStr">
        <is>
          <t>EBITDA</t>
        </is>
      </c>
      <c r="K4" s="32" t="inlineStr">
        <is>
          <t>Net Income</t>
        </is>
      </c>
      <c r="L4" s="1" t="n"/>
    </row>
    <row r="5">
      <c r="A5" s="1" t="inlineStr">
        <is>
          <t>9357-7427 Québec Inc.</t>
        </is>
      </c>
      <c r="B5" s="1" t="inlineStr">
        <is>
          <t>HoldCo</t>
        </is>
      </c>
      <c r="C5" s="33">
        <f>-SUMIFS(Fact_TrialBalance[Amount],Fact_TrialBalance[EntityId],"9357-7427 QI",Fact_TrialBalance[Category],"Operating Revenue",Fact_TrialBalance[FiscalYear],'02 Profitability'!$H$6)</f>
        <v/>
      </c>
      <c r="D5" s="33">
        <f>SUMIFS(Fact_TrialBalance[Amount],Fact_TrialBalance[EntityId],"9357-7427 QI",Fact_TrialBalance[Category],"COGS",Fact_TrialBalance[FiscalYear],'02 Profitability'!$H$6)</f>
        <v/>
      </c>
      <c r="E5" s="33">
        <f>SUMIFS(Fact_TrialBalance[Amount],Fact_TrialBalance[EntityId],"9357-7427 QI",Fact_TrialBalance[Category],"Payroll &amp; Benefits",Fact_TrialBalance[FiscalYear],'02 Profitability'!$H$6)</f>
        <v/>
      </c>
      <c r="F5" s="33">
        <f>SUMIFS(Fact_TrialBalance[Amount],Fact_TrialBalance[EntityId],"9357-7427 QI",Fact_TrialBalance[Category],"Occupancy",Fact_TrialBalance[FiscalYear],'02 Profitability'!$H$6)</f>
        <v/>
      </c>
      <c r="G5" s="33">
        <f>SUMIFS(Fact_TrialBalance[Amount],Fact_TrialBalance[EntityId],"9357-7427 QI",Fact_TrialBalance[Category],"Interest &amp; Financing",Fact_TrialBalance[FiscalYear],'02 Profitability'!$H$6)</f>
        <v/>
      </c>
      <c r="H5" s="33">
        <f>SUMIFS(Fact_TrialBalance[Amount],Fact_TrialBalance[EntityId],"9357-7427 QI",Fact_TrialBalance[Category],"Amortization",Fact_TrialBalance[FiscalYear],'02 Profitability'!$H$6)</f>
        <v/>
      </c>
      <c r="I5" s="33">
        <f>SUMIFS(Fact_TrialBalance[Amount],Fact_TrialBalance[EntityId],"9357-7427 QI",Fact_TrialBalance[Category],"Income Tax",Fact_TrialBalance[FiscalYear],'02 Profitability'!$H$6)</f>
        <v/>
      </c>
      <c r="J5" s="33">
        <f>-(SUMIFS(Fact_TrialBalance[Amount],Fact_TrialBalance[EntityId],"9357-7427 QI",Fact_TrialBalance[FiscalYear],'02 Profitability'!$H$6)-SUMPRODUCT((Fact_TrialBalance[EntityId]="9357-7427 QI")*(Fact_TrialBalance[FiscalYear]='02 Profitability'!$H$6)*(ISNUMBER(MATCH(Fact_TrialBalance[Category],{"Interest &amp; Financing","Amortization","Income Tax"},0)))*Fact_TrialBalance[Amount]))</f>
        <v/>
      </c>
      <c r="K5" s="33">
        <f>-SUMIFS(Fact_TrialBalance[Amount],Fact_TrialBalance[EntityId],"9357-7427 QI",Fact_TrialBalance[FiscalYear],'02 Profitability'!$H$6)</f>
        <v/>
      </c>
      <c r="L5" s="1" t="n"/>
    </row>
    <row r="6">
      <c r="A6" s="1" t="inlineStr">
        <is>
          <t>9366-1676 Québec Inc.</t>
        </is>
      </c>
      <c r="B6" s="1" t="inlineStr">
        <is>
          <t>HoldCo</t>
        </is>
      </c>
      <c r="C6" s="33">
        <f>-SUMIFS(Fact_TrialBalance[Amount],Fact_TrialBalance[EntityId],"9366-1676 QI",Fact_TrialBalance[Category],"Operating Revenue",Fact_TrialBalance[FiscalYear],'02 Profitability'!$H$6)</f>
        <v/>
      </c>
      <c r="D6" s="33">
        <f>SUMIFS(Fact_TrialBalance[Amount],Fact_TrialBalance[EntityId],"9366-1676 QI",Fact_TrialBalance[Category],"COGS",Fact_TrialBalance[FiscalYear],'02 Profitability'!$H$6)</f>
        <v/>
      </c>
      <c r="E6" s="33">
        <f>SUMIFS(Fact_TrialBalance[Amount],Fact_TrialBalance[EntityId],"9366-1676 QI",Fact_TrialBalance[Category],"Payroll &amp; Benefits",Fact_TrialBalance[FiscalYear],'02 Profitability'!$H$6)</f>
        <v/>
      </c>
      <c r="F6" s="33">
        <f>SUMIFS(Fact_TrialBalance[Amount],Fact_TrialBalance[EntityId],"9366-1676 QI",Fact_TrialBalance[Category],"Occupancy",Fact_TrialBalance[FiscalYear],'02 Profitability'!$H$6)</f>
        <v/>
      </c>
      <c r="G6" s="33">
        <f>SUMIFS(Fact_TrialBalance[Amount],Fact_TrialBalance[EntityId],"9366-1676 QI",Fact_TrialBalance[Category],"Interest &amp; Financing",Fact_TrialBalance[FiscalYear],'02 Profitability'!$H$6)</f>
        <v/>
      </c>
      <c r="H6" s="33">
        <f>SUMIFS(Fact_TrialBalance[Amount],Fact_TrialBalance[EntityId],"9366-1676 QI",Fact_TrialBalance[Category],"Amortization",Fact_TrialBalance[FiscalYear],'02 Profitability'!$H$6)</f>
        <v/>
      </c>
      <c r="I6" s="33">
        <f>SUMIFS(Fact_TrialBalance[Amount],Fact_TrialBalance[EntityId],"9366-1676 QI",Fact_TrialBalance[Category],"Income Tax",Fact_TrialBalance[FiscalYear],'02 Profitability'!$H$6)</f>
        <v/>
      </c>
      <c r="J6" s="33">
        <f>-(SUMIFS(Fact_TrialBalance[Amount],Fact_TrialBalance[EntityId],"9366-1676 QI",Fact_TrialBalance[FiscalYear],'02 Profitability'!$H$6)-SUMPRODUCT((Fact_TrialBalance[EntityId]="9366-1676 QI")*(Fact_TrialBalance[FiscalYear]='02 Profitability'!$H$6)*(ISNUMBER(MATCH(Fact_TrialBalance[Category],{"Interest &amp; Financing","Amortization","Income Tax"},0)))*Fact_TrialBalance[Amount]))</f>
        <v/>
      </c>
      <c r="K6" s="33">
        <f>-SUMIFS(Fact_TrialBalance[Amount],Fact_TrialBalance[EntityId],"9366-1676 QI",Fact_TrialBalance[FiscalYear],'02 Profitability'!$H$6)</f>
        <v/>
      </c>
      <c r="L6" s="1" t="n"/>
    </row>
    <row r="7">
      <c r="A7" s="1" t="inlineStr">
        <is>
          <t>9425-4547 Québec Inc.</t>
        </is>
      </c>
      <c r="B7" s="1" t="inlineStr">
        <is>
          <t>HoldCo</t>
        </is>
      </c>
      <c r="C7" s="33">
        <f>-SUMIFS(Fact_TrialBalance[Amount],Fact_TrialBalance[EntityId],"9425-4547 QI",Fact_TrialBalance[Category],"Operating Revenue",Fact_TrialBalance[FiscalYear],'02 Profitability'!$H$6)</f>
        <v/>
      </c>
      <c r="D7" s="33">
        <f>SUMIFS(Fact_TrialBalance[Amount],Fact_TrialBalance[EntityId],"9425-4547 QI",Fact_TrialBalance[Category],"COGS",Fact_TrialBalance[FiscalYear],'02 Profitability'!$H$6)</f>
        <v/>
      </c>
      <c r="E7" s="33">
        <f>SUMIFS(Fact_TrialBalance[Amount],Fact_TrialBalance[EntityId],"9425-4547 QI",Fact_TrialBalance[Category],"Payroll &amp; Benefits",Fact_TrialBalance[FiscalYear],'02 Profitability'!$H$6)</f>
        <v/>
      </c>
      <c r="F7" s="33">
        <f>SUMIFS(Fact_TrialBalance[Amount],Fact_TrialBalance[EntityId],"9425-4547 QI",Fact_TrialBalance[Category],"Occupancy",Fact_TrialBalance[FiscalYear],'02 Profitability'!$H$6)</f>
        <v/>
      </c>
      <c r="G7" s="33">
        <f>SUMIFS(Fact_TrialBalance[Amount],Fact_TrialBalance[EntityId],"9425-4547 QI",Fact_TrialBalance[Category],"Interest &amp; Financing",Fact_TrialBalance[FiscalYear],'02 Profitability'!$H$6)</f>
        <v/>
      </c>
      <c r="H7" s="33">
        <f>SUMIFS(Fact_TrialBalance[Amount],Fact_TrialBalance[EntityId],"9425-4547 QI",Fact_TrialBalance[Category],"Amortization",Fact_TrialBalance[FiscalYear],'02 Profitability'!$H$6)</f>
        <v/>
      </c>
      <c r="I7" s="33">
        <f>SUMIFS(Fact_TrialBalance[Amount],Fact_TrialBalance[EntityId],"9425-4547 QI",Fact_TrialBalance[Category],"Income Tax",Fact_TrialBalance[FiscalYear],'02 Profitability'!$H$6)</f>
        <v/>
      </c>
      <c r="J7" s="33">
        <f>-(SUMIFS(Fact_TrialBalance[Amount],Fact_TrialBalance[EntityId],"9425-4547 QI",Fact_TrialBalance[FiscalYear],'02 Profitability'!$H$6)-SUMPRODUCT((Fact_TrialBalance[EntityId]="9425-4547 QI")*(Fact_TrialBalance[FiscalYear]='02 Profitability'!$H$6)*(ISNUMBER(MATCH(Fact_TrialBalance[Category],{"Interest &amp; Financing","Amortization","Income Tax"},0)))*Fact_TrialBalance[Amount]))</f>
        <v/>
      </c>
      <c r="K7" s="33">
        <f>-SUMIFS(Fact_TrialBalance[Amount],Fact_TrialBalance[EntityId],"9425-4547 QI",Fact_TrialBalance[FiscalYear],'02 Profitability'!$H$6)</f>
        <v/>
      </c>
      <c r="L7" s="1" t="n"/>
    </row>
    <row r="8">
      <c r="A8" s="1" t="inlineStr">
        <is>
          <t>9455-4169 Québec Inc.</t>
        </is>
      </c>
      <c r="B8" s="1" t="inlineStr">
        <is>
          <t>HoldCo</t>
        </is>
      </c>
      <c r="C8" s="33">
        <f>-SUMIFS(Fact_TrialBalance[Amount],Fact_TrialBalance[EntityId],"9455-4169 QI",Fact_TrialBalance[Category],"Operating Revenue",Fact_TrialBalance[FiscalYear],'02 Profitability'!$H$6)</f>
        <v/>
      </c>
      <c r="D8" s="33">
        <f>SUMIFS(Fact_TrialBalance[Amount],Fact_TrialBalance[EntityId],"9455-4169 QI",Fact_TrialBalance[Category],"COGS",Fact_TrialBalance[FiscalYear],'02 Profitability'!$H$6)</f>
        <v/>
      </c>
      <c r="E8" s="33">
        <f>SUMIFS(Fact_TrialBalance[Amount],Fact_TrialBalance[EntityId],"9455-4169 QI",Fact_TrialBalance[Category],"Payroll &amp; Benefits",Fact_TrialBalance[FiscalYear],'02 Profitability'!$H$6)</f>
        <v/>
      </c>
      <c r="F8" s="33">
        <f>SUMIFS(Fact_TrialBalance[Amount],Fact_TrialBalance[EntityId],"9455-4169 QI",Fact_TrialBalance[Category],"Occupancy",Fact_TrialBalance[FiscalYear],'02 Profitability'!$H$6)</f>
        <v/>
      </c>
      <c r="G8" s="33">
        <f>SUMIFS(Fact_TrialBalance[Amount],Fact_TrialBalance[EntityId],"9455-4169 QI",Fact_TrialBalance[Category],"Interest &amp; Financing",Fact_TrialBalance[FiscalYear],'02 Profitability'!$H$6)</f>
        <v/>
      </c>
      <c r="H8" s="33">
        <f>SUMIFS(Fact_TrialBalance[Amount],Fact_TrialBalance[EntityId],"9455-4169 QI",Fact_TrialBalance[Category],"Amortization",Fact_TrialBalance[FiscalYear],'02 Profitability'!$H$6)</f>
        <v/>
      </c>
      <c r="I8" s="33">
        <f>SUMIFS(Fact_TrialBalance[Amount],Fact_TrialBalance[EntityId],"9455-4169 QI",Fact_TrialBalance[Category],"Income Tax",Fact_TrialBalance[FiscalYear],'02 Profitability'!$H$6)</f>
        <v/>
      </c>
      <c r="J8" s="33">
        <f>-(SUMIFS(Fact_TrialBalance[Amount],Fact_TrialBalance[EntityId],"9455-4169 QI",Fact_TrialBalance[FiscalYear],'02 Profitability'!$H$6)-SUMPRODUCT((Fact_TrialBalance[EntityId]="9455-4169 QI")*(Fact_TrialBalance[FiscalYear]='02 Profitability'!$H$6)*(ISNUMBER(MATCH(Fact_TrialBalance[Category],{"Interest &amp; Financing","Amortization","Income Tax"},0)))*Fact_TrialBalance[Amount]))</f>
        <v/>
      </c>
      <c r="K8" s="33">
        <f>-SUMIFS(Fact_TrialBalance[Amount],Fact_TrialBalance[EntityId],"9455-4169 QI",Fact_TrialBalance[FiscalYear],'02 Profitability'!$H$6)</f>
        <v/>
      </c>
      <c r="L8" s="1" t="n"/>
    </row>
    <row r="9">
      <c r="A9" s="1" t="inlineStr">
        <is>
          <t>9455-4177 Québec Inc.</t>
        </is>
      </c>
      <c r="B9" s="1" t="inlineStr">
        <is>
          <t>HoldCo</t>
        </is>
      </c>
      <c r="C9" s="33">
        <f>-SUMIFS(Fact_TrialBalance[Amount],Fact_TrialBalance[EntityId],"9455-4177 QI",Fact_TrialBalance[Category],"Operating Revenue",Fact_TrialBalance[FiscalYear],'02 Profitability'!$H$6)</f>
        <v/>
      </c>
      <c r="D9" s="33">
        <f>SUMIFS(Fact_TrialBalance[Amount],Fact_TrialBalance[EntityId],"9455-4177 QI",Fact_TrialBalance[Category],"COGS",Fact_TrialBalance[FiscalYear],'02 Profitability'!$H$6)</f>
        <v/>
      </c>
      <c r="E9" s="33">
        <f>SUMIFS(Fact_TrialBalance[Amount],Fact_TrialBalance[EntityId],"9455-4177 QI",Fact_TrialBalance[Category],"Payroll &amp; Benefits",Fact_TrialBalance[FiscalYear],'02 Profitability'!$H$6)</f>
        <v/>
      </c>
      <c r="F9" s="33">
        <f>SUMIFS(Fact_TrialBalance[Amount],Fact_TrialBalance[EntityId],"9455-4177 QI",Fact_TrialBalance[Category],"Occupancy",Fact_TrialBalance[FiscalYear],'02 Profitability'!$H$6)</f>
        <v/>
      </c>
      <c r="G9" s="33">
        <f>SUMIFS(Fact_TrialBalance[Amount],Fact_TrialBalance[EntityId],"9455-4177 QI",Fact_TrialBalance[Category],"Interest &amp; Financing",Fact_TrialBalance[FiscalYear],'02 Profitability'!$H$6)</f>
        <v/>
      </c>
      <c r="H9" s="33">
        <f>SUMIFS(Fact_TrialBalance[Amount],Fact_TrialBalance[EntityId],"9455-4177 QI",Fact_TrialBalance[Category],"Amortization",Fact_TrialBalance[FiscalYear],'02 Profitability'!$H$6)</f>
        <v/>
      </c>
      <c r="I9" s="33">
        <f>SUMIFS(Fact_TrialBalance[Amount],Fact_TrialBalance[EntityId],"9455-4177 QI",Fact_TrialBalance[Category],"Income Tax",Fact_TrialBalance[FiscalYear],'02 Profitability'!$H$6)</f>
        <v/>
      </c>
      <c r="J9" s="33">
        <f>-(SUMIFS(Fact_TrialBalance[Amount],Fact_TrialBalance[EntityId],"9455-4177 QI",Fact_TrialBalance[FiscalYear],'02 Profitability'!$H$6)-SUMPRODUCT((Fact_TrialBalance[EntityId]="9455-4177 QI")*(Fact_TrialBalance[FiscalYear]='02 Profitability'!$H$6)*(ISNUMBER(MATCH(Fact_TrialBalance[Category],{"Interest &amp; Financing","Amortization","Income Tax"},0)))*Fact_TrialBalance[Amount]))</f>
        <v/>
      </c>
      <c r="K9" s="33">
        <f>-SUMIFS(Fact_TrialBalance[Amount],Fact_TrialBalance[EntityId],"9455-4177 QI",Fact_TrialBalance[FiscalYear],'02 Profitability'!$H$6)</f>
        <v/>
      </c>
      <c r="L9" s="1" t="n"/>
    </row>
    <row r="10">
      <c r="A10" s="1" t="inlineStr">
        <is>
          <t>Sandhu Holdco</t>
        </is>
      </c>
      <c r="B10" s="1" t="inlineStr">
        <is>
          <t>HoldCo</t>
        </is>
      </c>
      <c r="C10" s="33">
        <f>-SUMIFS(Fact_TrialBalance[Amount],Fact_TrialBalance[EntityId],"9455-4201 QI",Fact_TrialBalance[Category],"Operating Revenue",Fact_TrialBalance[FiscalYear],'02 Profitability'!$H$6)</f>
        <v/>
      </c>
      <c r="D10" s="33">
        <f>SUMIFS(Fact_TrialBalance[Amount],Fact_TrialBalance[EntityId],"9455-4201 QI",Fact_TrialBalance[Category],"COGS",Fact_TrialBalance[FiscalYear],'02 Profitability'!$H$6)</f>
        <v/>
      </c>
      <c r="E10" s="33">
        <f>SUMIFS(Fact_TrialBalance[Amount],Fact_TrialBalance[EntityId],"9455-4201 QI",Fact_TrialBalance[Category],"Payroll &amp; Benefits",Fact_TrialBalance[FiscalYear],'02 Profitability'!$H$6)</f>
        <v/>
      </c>
      <c r="F10" s="33">
        <f>SUMIFS(Fact_TrialBalance[Amount],Fact_TrialBalance[EntityId],"9455-4201 QI",Fact_TrialBalance[Category],"Occupancy",Fact_TrialBalance[FiscalYear],'02 Profitability'!$H$6)</f>
        <v/>
      </c>
      <c r="G10" s="33">
        <f>SUMIFS(Fact_TrialBalance[Amount],Fact_TrialBalance[EntityId],"9455-4201 QI",Fact_TrialBalance[Category],"Interest &amp; Financing",Fact_TrialBalance[FiscalYear],'02 Profitability'!$H$6)</f>
        <v/>
      </c>
      <c r="H10" s="33">
        <f>SUMIFS(Fact_TrialBalance[Amount],Fact_TrialBalance[EntityId],"9455-4201 QI",Fact_TrialBalance[Category],"Amortization",Fact_TrialBalance[FiscalYear],'02 Profitability'!$H$6)</f>
        <v/>
      </c>
      <c r="I10" s="33">
        <f>SUMIFS(Fact_TrialBalance[Amount],Fact_TrialBalance[EntityId],"9455-4201 QI",Fact_TrialBalance[Category],"Income Tax",Fact_TrialBalance[FiscalYear],'02 Profitability'!$H$6)</f>
        <v/>
      </c>
      <c r="J10" s="33">
        <f>-(SUMIFS(Fact_TrialBalance[Amount],Fact_TrialBalance[EntityId],"9455-4201 QI",Fact_TrialBalance[FiscalYear],'02 Profitability'!$H$6)-SUMPRODUCT((Fact_TrialBalance[EntityId]="9455-4201 QI")*(Fact_TrialBalance[FiscalYear]='02 Profitability'!$H$6)*(ISNUMBER(MATCH(Fact_TrialBalance[Category],{"Interest &amp; Financing","Amortization","Income Tax"},0)))*Fact_TrialBalance[Amount]))</f>
        <v/>
      </c>
      <c r="K10" s="33">
        <f>-SUMIFS(Fact_TrialBalance[Amount],Fact_TrialBalance[EntityId],"9455-4201 QI",Fact_TrialBalance[FiscalYear],'02 Profitability'!$H$6)</f>
        <v/>
      </c>
      <c r="L10" s="1" t="n"/>
    </row>
    <row r="11">
      <c r="A11" s="1" t="inlineStr">
        <is>
          <t>Auberge St Louis</t>
        </is>
      </c>
      <c r="B11" s="1" t="inlineStr">
        <is>
          <t>Hospitality OpCo</t>
        </is>
      </c>
      <c r="C11" s="33">
        <f>-SUMIFS(Fact_TrialBalance[Amount],Fact_TrialBalance[EntityId],"9108-6876 QI",Fact_TrialBalance[Category],"Operating Revenue",Fact_TrialBalance[FiscalYear],'02 Profitability'!$H$6)</f>
        <v/>
      </c>
      <c r="D11" s="33">
        <f>SUMIFS(Fact_TrialBalance[Amount],Fact_TrialBalance[EntityId],"9108-6876 QI",Fact_TrialBalance[Category],"COGS",Fact_TrialBalance[FiscalYear],'02 Profitability'!$H$6)</f>
        <v/>
      </c>
      <c r="E11" s="33">
        <f>SUMIFS(Fact_TrialBalance[Amount],Fact_TrialBalance[EntityId],"9108-6876 QI",Fact_TrialBalance[Category],"Payroll &amp; Benefits",Fact_TrialBalance[FiscalYear],'02 Profitability'!$H$6)</f>
        <v/>
      </c>
      <c r="F11" s="33">
        <f>SUMIFS(Fact_TrialBalance[Amount],Fact_TrialBalance[EntityId],"9108-6876 QI",Fact_TrialBalance[Category],"Occupancy",Fact_TrialBalance[FiscalYear],'02 Profitability'!$H$6)</f>
        <v/>
      </c>
      <c r="G11" s="33">
        <f>SUMIFS(Fact_TrialBalance[Amount],Fact_TrialBalance[EntityId],"9108-6876 QI",Fact_TrialBalance[Category],"Interest &amp; Financing",Fact_TrialBalance[FiscalYear],'02 Profitability'!$H$6)</f>
        <v/>
      </c>
      <c r="H11" s="33">
        <f>SUMIFS(Fact_TrialBalance[Amount],Fact_TrialBalance[EntityId],"9108-6876 QI",Fact_TrialBalance[Category],"Amortization",Fact_TrialBalance[FiscalYear],'02 Profitability'!$H$6)</f>
        <v/>
      </c>
      <c r="I11" s="33">
        <f>SUMIFS(Fact_TrialBalance[Amount],Fact_TrialBalance[EntityId],"9108-6876 QI",Fact_TrialBalance[Category],"Income Tax",Fact_TrialBalance[FiscalYear],'02 Profitability'!$H$6)</f>
        <v/>
      </c>
      <c r="J11" s="33">
        <f>-(SUMIFS(Fact_TrialBalance[Amount],Fact_TrialBalance[EntityId],"9108-6876 QI",Fact_TrialBalance[FiscalYear],'02 Profitability'!$H$6)-SUMPRODUCT((Fact_TrialBalance[EntityId]="9108-6876 QI")*(Fact_TrialBalance[FiscalYear]='02 Profitability'!$H$6)*(ISNUMBER(MATCH(Fact_TrialBalance[Category],{"Interest &amp; Financing","Amortization","Income Tax"},0)))*Fact_TrialBalance[Amount]))</f>
        <v/>
      </c>
      <c r="K11" s="33">
        <f>-SUMIFS(Fact_TrialBalance[Amount],Fact_TrialBalance[EntityId],"9108-6876 QI",Fact_TrialBalance[FiscalYear],'02 Profitability'!$H$6)</f>
        <v/>
      </c>
      <c r="L11" s="1" t="n"/>
    </row>
    <row r="12">
      <c r="A12" s="1" t="inlineStr">
        <is>
          <t>Bistro Guru Inc.</t>
        </is>
      </c>
      <c r="B12" s="1" t="inlineStr">
        <is>
          <t>Restaurant OpCo</t>
        </is>
      </c>
      <c r="C12" s="33">
        <f>-SUMIFS(Fact_TrialBalance[Amount],Fact_TrialBalance[EntityId],"N/A_BisGur",Fact_TrialBalance[Category],"Operating Revenue",Fact_TrialBalance[FiscalYear],'02 Profitability'!$H$6)</f>
        <v/>
      </c>
      <c r="D12" s="33">
        <f>SUMIFS(Fact_TrialBalance[Amount],Fact_TrialBalance[EntityId],"N/A_BisGur",Fact_TrialBalance[Category],"COGS",Fact_TrialBalance[FiscalYear],'02 Profitability'!$H$6)</f>
        <v/>
      </c>
      <c r="E12" s="33">
        <f>SUMIFS(Fact_TrialBalance[Amount],Fact_TrialBalance[EntityId],"N/A_BisGur",Fact_TrialBalance[Category],"Payroll &amp; Benefits",Fact_TrialBalance[FiscalYear],'02 Profitability'!$H$6)</f>
        <v/>
      </c>
      <c r="F12" s="33">
        <f>SUMIFS(Fact_TrialBalance[Amount],Fact_TrialBalance[EntityId],"N/A_BisGur",Fact_TrialBalance[Category],"Occupancy",Fact_TrialBalance[FiscalYear],'02 Profitability'!$H$6)</f>
        <v/>
      </c>
      <c r="G12" s="33">
        <f>SUMIFS(Fact_TrialBalance[Amount],Fact_TrialBalance[EntityId],"N/A_BisGur",Fact_TrialBalance[Category],"Interest &amp; Financing",Fact_TrialBalance[FiscalYear],'02 Profitability'!$H$6)</f>
        <v/>
      </c>
      <c r="H12" s="33">
        <f>SUMIFS(Fact_TrialBalance[Amount],Fact_TrialBalance[EntityId],"N/A_BisGur",Fact_TrialBalance[Category],"Amortization",Fact_TrialBalance[FiscalYear],'02 Profitability'!$H$6)</f>
        <v/>
      </c>
      <c r="I12" s="33">
        <f>SUMIFS(Fact_TrialBalance[Amount],Fact_TrialBalance[EntityId],"N/A_BisGur",Fact_TrialBalance[Category],"Income Tax",Fact_TrialBalance[FiscalYear],'02 Profitability'!$H$6)</f>
        <v/>
      </c>
      <c r="J12" s="33">
        <f>-(SUMIFS(Fact_TrialBalance[Amount],Fact_TrialBalance[EntityId],"N/A_BisGur",Fact_TrialBalance[FiscalYear],'02 Profitability'!$H$6)-SUMPRODUCT((Fact_TrialBalance[EntityId]="N/A_BisGur")*(Fact_TrialBalance[FiscalYear]='02 Profitability'!$H$6)*(ISNUMBER(MATCH(Fact_TrialBalance[Category],{"Interest &amp; Financing","Amortization","Income Tax"},0)))*Fact_TrialBalance[Amount]))</f>
        <v/>
      </c>
      <c r="K12" s="33">
        <f>-SUMIFS(Fact_TrialBalance[Amount],Fact_TrialBalance[EntityId],"N/A_BisGur",Fact_TrialBalance[FiscalYear],'02 Profitability'!$H$6)</f>
        <v/>
      </c>
      <c r="L12" s="1" t="n"/>
    </row>
    <row r="13">
      <c r="A13" s="1" t="inlineStr">
        <is>
          <t>Lobby Lounge</t>
        </is>
      </c>
      <c r="B13" s="1" t="inlineStr">
        <is>
          <t>Restaurant OpCo</t>
        </is>
      </c>
      <c r="C13" s="33">
        <f>-SUMIFS(Fact_TrialBalance[Amount],Fact_TrialBalance[EntityId],"9096-0436 QI",Fact_TrialBalance[Category],"Operating Revenue",Fact_TrialBalance[FiscalYear],'02 Profitability'!$H$6)</f>
        <v/>
      </c>
      <c r="D13" s="33">
        <f>SUMIFS(Fact_TrialBalance[Amount],Fact_TrialBalance[EntityId],"9096-0436 QI",Fact_TrialBalance[Category],"COGS",Fact_TrialBalance[FiscalYear],'02 Profitability'!$H$6)</f>
        <v/>
      </c>
      <c r="E13" s="33">
        <f>SUMIFS(Fact_TrialBalance[Amount],Fact_TrialBalance[EntityId],"9096-0436 QI",Fact_TrialBalance[Category],"Payroll &amp; Benefits",Fact_TrialBalance[FiscalYear],'02 Profitability'!$H$6)</f>
        <v/>
      </c>
      <c r="F13" s="33">
        <f>SUMIFS(Fact_TrialBalance[Amount],Fact_TrialBalance[EntityId],"9096-0436 QI",Fact_TrialBalance[Category],"Occupancy",Fact_TrialBalance[FiscalYear],'02 Profitability'!$H$6)</f>
        <v/>
      </c>
      <c r="G13" s="33">
        <f>SUMIFS(Fact_TrialBalance[Amount],Fact_TrialBalance[EntityId],"9096-0436 QI",Fact_TrialBalance[Category],"Interest &amp; Financing",Fact_TrialBalance[FiscalYear],'02 Profitability'!$H$6)</f>
        <v/>
      </c>
      <c r="H13" s="33">
        <f>SUMIFS(Fact_TrialBalance[Amount],Fact_TrialBalance[EntityId],"9096-0436 QI",Fact_TrialBalance[Category],"Amortization",Fact_TrialBalance[FiscalYear],'02 Profitability'!$H$6)</f>
        <v/>
      </c>
      <c r="I13" s="33">
        <f>SUMIFS(Fact_TrialBalance[Amount],Fact_TrialBalance[EntityId],"9096-0436 QI",Fact_TrialBalance[Category],"Income Tax",Fact_TrialBalance[FiscalYear],'02 Profitability'!$H$6)</f>
        <v/>
      </c>
      <c r="J13" s="33">
        <f>-(SUMIFS(Fact_TrialBalance[Amount],Fact_TrialBalance[EntityId],"9096-0436 QI",Fact_TrialBalance[FiscalYear],'02 Profitability'!$H$6)-SUMPRODUCT((Fact_TrialBalance[EntityId]="9096-0436 QI")*(Fact_TrialBalance[FiscalYear]='02 Profitability'!$H$6)*(ISNUMBER(MATCH(Fact_TrialBalance[Category],{"Interest &amp; Financing","Amortization","Income Tax"},0)))*Fact_TrialBalance[Amount]))</f>
        <v/>
      </c>
      <c r="K13" s="33">
        <f>-SUMIFS(Fact_TrialBalance[Amount],Fact_TrialBalance[EntityId],"9096-0436 QI",Fact_TrialBalance[FiscalYear],'02 Profitability'!$H$6)</f>
        <v/>
      </c>
      <c r="L13" s="1" t="n"/>
    </row>
    <row r="14">
      <c r="A14" s="1" t="inlineStr">
        <is>
          <t>Restaurant Heritage</t>
        </is>
      </c>
      <c r="B14" s="1" t="inlineStr">
        <is>
          <t>Restaurant OpCo</t>
        </is>
      </c>
      <c r="C14" s="33">
        <f>-SUMIFS(Fact_TrialBalance[Amount],Fact_TrialBalance[EntityId],"9504-7510 QI",Fact_TrialBalance[Category],"Operating Revenue",Fact_TrialBalance[FiscalYear],'02 Profitability'!$H$6)</f>
        <v/>
      </c>
      <c r="D14" s="33">
        <f>SUMIFS(Fact_TrialBalance[Amount],Fact_TrialBalance[EntityId],"9504-7510 QI",Fact_TrialBalance[Category],"COGS",Fact_TrialBalance[FiscalYear],'02 Profitability'!$H$6)</f>
        <v/>
      </c>
      <c r="E14" s="33">
        <f>SUMIFS(Fact_TrialBalance[Amount],Fact_TrialBalance[EntityId],"9504-7510 QI",Fact_TrialBalance[Category],"Payroll &amp; Benefits",Fact_TrialBalance[FiscalYear],'02 Profitability'!$H$6)</f>
        <v/>
      </c>
      <c r="F14" s="33">
        <f>SUMIFS(Fact_TrialBalance[Amount],Fact_TrialBalance[EntityId],"9504-7510 QI",Fact_TrialBalance[Category],"Occupancy",Fact_TrialBalance[FiscalYear],'02 Profitability'!$H$6)</f>
        <v/>
      </c>
      <c r="G14" s="33">
        <f>SUMIFS(Fact_TrialBalance[Amount],Fact_TrialBalance[EntityId],"9504-7510 QI",Fact_TrialBalance[Category],"Interest &amp; Financing",Fact_TrialBalance[FiscalYear],'02 Profitability'!$H$6)</f>
        <v/>
      </c>
      <c r="H14" s="33">
        <f>SUMIFS(Fact_TrialBalance[Amount],Fact_TrialBalance[EntityId],"9504-7510 QI",Fact_TrialBalance[Category],"Amortization",Fact_TrialBalance[FiscalYear],'02 Profitability'!$H$6)</f>
        <v/>
      </c>
      <c r="I14" s="33">
        <f>SUMIFS(Fact_TrialBalance[Amount],Fact_TrialBalance[EntityId],"9504-7510 QI",Fact_TrialBalance[Category],"Income Tax",Fact_TrialBalance[FiscalYear],'02 Profitability'!$H$6)</f>
        <v/>
      </c>
      <c r="J14" s="33">
        <f>-(SUMIFS(Fact_TrialBalance[Amount],Fact_TrialBalance[EntityId],"9504-7510 QI",Fact_TrialBalance[FiscalYear],'02 Profitability'!$H$6)-SUMPRODUCT((Fact_TrialBalance[EntityId]="9504-7510 QI")*(Fact_TrialBalance[FiscalYear]='02 Profitability'!$H$6)*(ISNUMBER(MATCH(Fact_TrialBalance[Category],{"Interest &amp; Financing","Amortization","Income Tax"},0)))*Fact_TrialBalance[Amount]))</f>
        <v/>
      </c>
      <c r="K14" s="33">
        <f>-SUMIFS(Fact_TrialBalance[Amount],Fact_TrialBalance[EntityId],"9504-7510 QI",Fact_TrialBalance[FiscalYear],'02 Profitability'!$H$6)</f>
        <v/>
      </c>
      <c r="L14" s="1" t="n"/>
    </row>
    <row r="15">
      <c r="A15" s="1" t="inlineStr">
        <is>
          <t>Restaurant IndiaRosa 2</t>
        </is>
      </c>
      <c r="B15" s="1" t="inlineStr">
        <is>
          <t>Restaurant OpCo</t>
        </is>
      </c>
      <c r="C15" s="33">
        <f>-SUMIFS(Fact_TrialBalance[Amount],Fact_TrialBalance[EntityId],"9455-8236 QI",Fact_TrialBalance[Category],"Operating Revenue",Fact_TrialBalance[FiscalYear],'02 Profitability'!$H$6)</f>
        <v/>
      </c>
      <c r="D15" s="33">
        <f>SUMIFS(Fact_TrialBalance[Amount],Fact_TrialBalance[EntityId],"9455-8236 QI",Fact_TrialBalance[Category],"COGS",Fact_TrialBalance[FiscalYear],'02 Profitability'!$H$6)</f>
        <v/>
      </c>
      <c r="E15" s="33">
        <f>SUMIFS(Fact_TrialBalance[Amount],Fact_TrialBalance[EntityId],"9455-8236 QI",Fact_TrialBalance[Category],"Payroll &amp; Benefits",Fact_TrialBalance[FiscalYear],'02 Profitability'!$H$6)</f>
        <v/>
      </c>
      <c r="F15" s="33">
        <f>SUMIFS(Fact_TrialBalance[Amount],Fact_TrialBalance[EntityId],"9455-8236 QI",Fact_TrialBalance[Category],"Occupancy",Fact_TrialBalance[FiscalYear],'02 Profitability'!$H$6)</f>
        <v/>
      </c>
      <c r="G15" s="33">
        <f>SUMIFS(Fact_TrialBalance[Amount],Fact_TrialBalance[EntityId],"9455-8236 QI",Fact_TrialBalance[Category],"Interest &amp; Financing",Fact_TrialBalance[FiscalYear],'02 Profitability'!$H$6)</f>
        <v/>
      </c>
      <c r="H15" s="33">
        <f>SUMIFS(Fact_TrialBalance[Amount],Fact_TrialBalance[EntityId],"9455-8236 QI",Fact_TrialBalance[Category],"Amortization",Fact_TrialBalance[FiscalYear],'02 Profitability'!$H$6)</f>
        <v/>
      </c>
      <c r="I15" s="33">
        <f>SUMIFS(Fact_TrialBalance[Amount],Fact_TrialBalance[EntityId],"9455-8236 QI",Fact_TrialBalance[Category],"Income Tax",Fact_TrialBalance[FiscalYear],'02 Profitability'!$H$6)</f>
        <v/>
      </c>
      <c r="J15" s="33">
        <f>-(SUMIFS(Fact_TrialBalance[Amount],Fact_TrialBalance[EntityId],"9455-8236 QI",Fact_TrialBalance[FiscalYear],'02 Profitability'!$H$6)-SUMPRODUCT((Fact_TrialBalance[EntityId]="9455-8236 QI")*(Fact_TrialBalance[FiscalYear]='02 Profitability'!$H$6)*(ISNUMBER(MATCH(Fact_TrialBalance[Category],{"Interest &amp; Financing","Amortization","Income Tax"},0)))*Fact_TrialBalance[Amount]))</f>
        <v/>
      </c>
      <c r="K15" s="33">
        <f>-SUMIFS(Fact_TrialBalance[Amount],Fact_TrialBalance[EntityId],"9455-8236 QI",Fact_TrialBalance[FiscalYear],'02 Profitability'!$H$6)</f>
        <v/>
      </c>
      <c r="L15" s="1" t="n"/>
    </row>
    <row r="16">
      <c r="A16" s="1" t="inlineStr">
        <is>
          <t>Restaurant IndiaRosa 3</t>
        </is>
      </c>
      <c r="B16" s="1" t="inlineStr">
        <is>
          <t>Restaurant OpCo</t>
        </is>
      </c>
      <c r="C16" s="33">
        <f>-SUMIFS(Fact_TrialBalance[Amount],Fact_TrialBalance[EntityId],"9525-2854 QI",Fact_TrialBalance[Category],"Operating Revenue",Fact_TrialBalance[FiscalYear],'02 Profitability'!$H$6)</f>
        <v/>
      </c>
      <c r="D16" s="33">
        <f>SUMIFS(Fact_TrialBalance[Amount],Fact_TrialBalance[EntityId],"9525-2854 QI",Fact_TrialBalance[Category],"COGS",Fact_TrialBalance[FiscalYear],'02 Profitability'!$H$6)</f>
        <v/>
      </c>
      <c r="E16" s="33">
        <f>SUMIFS(Fact_TrialBalance[Amount],Fact_TrialBalance[EntityId],"9525-2854 QI",Fact_TrialBalance[Category],"Payroll &amp; Benefits",Fact_TrialBalance[FiscalYear],'02 Profitability'!$H$6)</f>
        <v/>
      </c>
      <c r="F16" s="33">
        <f>SUMIFS(Fact_TrialBalance[Amount],Fact_TrialBalance[EntityId],"9525-2854 QI",Fact_TrialBalance[Category],"Occupancy",Fact_TrialBalance[FiscalYear],'02 Profitability'!$H$6)</f>
        <v/>
      </c>
      <c r="G16" s="33">
        <f>SUMIFS(Fact_TrialBalance[Amount],Fact_TrialBalance[EntityId],"9525-2854 QI",Fact_TrialBalance[Category],"Interest &amp; Financing",Fact_TrialBalance[FiscalYear],'02 Profitability'!$H$6)</f>
        <v/>
      </c>
      <c r="H16" s="33">
        <f>SUMIFS(Fact_TrialBalance[Amount],Fact_TrialBalance[EntityId],"9525-2854 QI",Fact_TrialBalance[Category],"Amortization",Fact_TrialBalance[FiscalYear],'02 Profitability'!$H$6)</f>
        <v/>
      </c>
      <c r="I16" s="33">
        <f>SUMIFS(Fact_TrialBalance[Amount],Fact_TrialBalance[EntityId],"9525-2854 QI",Fact_TrialBalance[Category],"Income Tax",Fact_TrialBalance[FiscalYear],'02 Profitability'!$H$6)</f>
        <v/>
      </c>
      <c r="J16" s="33">
        <f>-(SUMIFS(Fact_TrialBalance[Amount],Fact_TrialBalance[EntityId],"9525-2854 QI",Fact_TrialBalance[FiscalYear],'02 Profitability'!$H$6)-SUMPRODUCT((Fact_TrialBalance[EntityId]="9525-2854 QI")*(Fact_TrialBalance[FiscalYear]='02 Profitability'!$H$6)*(ISNUMBER(MATCH(Fact_TrialBalance[Category],{"Interest &amp; Financing","Amortization","Income Tax"},0)))*Fact_TrialBalance[Amount]))</f>
        <v/>
      </c>
      <c r="K16" s="33">
        <f>-SUMIFS(Fact_TrialBalance[Amount],Fact_TrialBalance[EntityId],"9525-2854 QI",Fact_TrialBalance[FiscalYear],'02 Profitability'!$H$6)</f>
        <v/>
      </c>
      <c r="L16" s="1" t="n"/>
    </row>
    <row r="17">
      <c r="A17" s="1" t="inlineStr">
        <is>
          <t>Restaurant IndiaRosa 1</t>
        </is>
      </c>
      <c r="B17" s="1" t="inlineStr">
        <is>
          <t>Restaurant OpCo</t>
        </is>
      </c>
      <c r="C17" s="33">
        <f>-SUMIFS(Fact_TrialBalance[Amount],Fact_TrialBalance[EntityId],"9366-1049 QI",Fact_TrialBalance[Category],"Operating Revenue",Fact_TrialBalance[FiscalYear],'02 Profitability'!$H$6)</f>
        <v/>
      </c>
      <c r="D17" s="33">
        <f>SUMIFS(Fact_TrialBalance[Amount],Fact_TrialBalance[EntityId],"9366-1049 QI",Fact_TrialBalance[Category],"COGS",Fact_TrialBalance[FiscalYear],'02 Profitability'!$H$6)</f>
        <v/>
      </c>
      <c r="E17" s="33">
        <f>SUMIFS(Fact_TrialBalance[Amount],Fact_TrialBalance[EntityId],"9366-1049 QI",Fact_TrialBalance[Category],"Payroll &amp; Benefits",Fact_TrialBalance[FiscalYear],'02 Profitability'!$H$6)</f>
        <v/>
      </c>
      <c r="F17" s="33">
        <f>SUMIFS(Fact_TrialBalance[Amount],Fact_TrialBalance[EntityId],"9366-1049 QI",Fact_TrialBalance[Category],"Occupancy",Fact_TrialBalance[FiscalYear],'02 Profitability'!$H$6)</f>
        <v/>
      </c>
      <c r="G17" s="33">
        <f>SUMIFS(Fact_TrialBalance[Amount],Fact_TrialBalance[EntityId],"9366-1049 QI",Fact_TrialBalance[Category],"Interest &amp; Financing",Fact_TrialBalance[FiscalYear],'02 Profitability'!$H$6)</f>
        <v/>
      </c>
      <c r="H17" s="33">
        <f>SUMIFS(Fact_TrialBalance[Amount],Fact_TrialBalance[EntityId],"9366-1049 QI",Fact_TrialBalance[Category],"Amortization",Fact_TrialBalance[FiscalYear],'02 Profitability'!$H$6)</f>
        <v/>
      </c>
      <c r="I17" s="33">
        <f>SUMIFS(Fact_TrialBalance[Amount],Fact_TrialBalance[EntityId],"9366-1049 QI",Fact_TrialBalance[Category],"Income Tax",Fact_TrialBalance[FiscalYear],'02 Profitability'!$H$6)</f>
        <v/>
      </c>
      <c r="J17" s="33">
        <f>-(SUMIFS(Fact_TrialBalance[Amount],Fact_TrialBalance[EntityId],"9366-1049 QI",Fact_TrialBalance[FiscalYear],'02 Profitability'!$H$6)-SUMPRODUCT((Fact_TrialBalance[EntityId]="9366-1049 QI")*(Fact_TrialBalance[FiscalYear]='02 Profitability'!$H$6)*(ISNUMBER(MATCH(Fact_TrialBalance[Category],{"Interest &amp; Financing","Amortization","Income Tax"},0)))*Fact_TrialBalance[Amount]))</f>
        <v/>
      </c>
      <c r="K17" s="33">
        <f>-SUMIFS(Fact_TrialBalance[Amount],Fact_TrialBalance[EntityId],"9366-1049 QI",Fact_TrialBalance[FiscalYear],'02 Profitability'!$H$6)</f>
        <v/>
      </c>
      <c r="L17" s="1" t="n"/>
    </row>
    <row r="18">
      <c r="A18" s="1" t="inlineStr">
        <is>
          <t>Restaurant Sandhu</t>
        </is>
      </c>
      <c r="B18" s="1" t="inlineStr">
        <is>
          <t>Restaurant OpCo</t>
        </is>
      </c>
      <c r="C18" s="33">
        <f>-SUMIFS(Fact_TrialBalance[Amount],Fact_TrialBalance[EntityId],"9098-0558 QI",Fact_TrialBalance[Category],"Operating Revenue",Fact_TrialBalance[FiscalYear],'02 Profitability'!$H$6)</f>
        <v/>
      </c>
      <c r="D18" s="33">
        <f>SUMIFS(Fact_TrialBalance[Amount],Fact_TrialBalance[EntityId],"9098-0558 QI",Fact_TrialBalance[Category],"COGS",Fact_TrialBalance[FiscalYear],'02 Profitability'!$H$6)</f>
        <v/>
      </c>
      <c r="E18" s="33">
        <f>SUMIFS(Fact_TrialBalance[Amount],Fact_TrialBalance[EntityId],"9098-0558 QI",Fact_TrialBalance[Category],"Payroll &amp; Benefits",Fact_TrialBalance[FiscalYear],'02 Profitability'!$H$6)</f>
        <v/>
      </c>
      <c r="F18" s="33">
        <f>SUMIFS(Fact_TrialBalance[Amount],Fact_TrialBalance[EntityId],"9098-0558 QI",Fact_TrialBalance[Category],"Occupancy",Fact_TrialBalance[FiscalYear],'02 Profitability'!$H$6)</f>
        <v/>
      </c>
      <c r="G18" s="33">
        <f>SUMIFS(Fact_TrialBalance[Amount],Fact_TrialBalance[EntityId],"9098-0558 QI",Fact_TrialBalance[Category],"Interest &amp; Financing",Fact_TrialBalance[FiscalYear],'02 Profitability'!$H$6)</f>
        <v/>
      </c>
      <c r="H18" s="33">
        <f>SUMIFS(Fact_TrialBalance[Amount],Fact_TrialBalance[EntityId],"9098-0558 QI",Fact_TrialBalance[Category],"Amortization",Fact_TrialBalance[FiscalYear],'02 Profitability'!$H$6)</f>
        <v/>
      </c>
      <c r="I18" s="33">
        <f>SUMIFS(Fact_TrialBalance[Amount],Fact_TrialBalance[EntityId],"9098-0558 QI",Fact_TrialBalance[Category],"Income Tax",Fact_TrialBalance[FiscalYear],'02 Profitability'!$H$6)</f>
        <v/>
      </c>
      <c r="J18" s="33">
        <f>-(SUMIFS(Fact_TrialBalance[Amount],Fact_TrialBalance[EntityId],"9098-0558 QI",Fact_TrialBalance[FiscalYear],'02 Profitability'!$H$6)-SUMPRODUCT((Fact_TrialBalance[EntityId]="9098-0558 QI")*(Fact_TrialBalance[FiscalYear]='02 Profitability'!$H$6)*(ISNUMBER(MATCH(Fact_TrialBalance[Category],{"Interest &amp; Financing","Amortization","Income Tax"},0)))*Fact_TrialBalance[Amount]))</f>
        <v/>
      </c>
      <c r="K18" s="33">
        <f>-SUMIFS(Fact_TrialBalance[Amount],Fact_TrialBalance[EntityId],"9098-0558 QI",Fact_TrialBalance[FiscalYear],'02 Profitability'!$H$6)</f>
        <v/>
      </c>
      <c r="L18" s="1" t="n"/>
    </row>
    <row r="19">
      <c r="A19" s="1" t="inlineStr">
        <is>
          <t>Sandhu Leasing</t>
        </is>
      </c>
      <c r="B19" s="1" t="inlineStr">
        <is>
          <t>RealCo</t>
        </is>
      </c>
      <c r="C19" s="33">
        <f>-SUMIFS(Fact_TrialBalance[Amount],Fact_TrialBalance[EntityId],"2749-8567 QI",Fact_TrialBalance[Category],"Operating Revenue",Fact_TrialBalance[FiscalYear],'02 Profitability'!$H$6)</f>
        <v/>
      </c>
      <c r="D19" s="33">
        <f>SUMIFS(Fact_TrialBalance[Amount],Fact_TrialBalance[EntityId],"2749-8567 QI",Fact_TrialBalance[Category],"COGS",Fact_TrialBalance[FiscalYear],'02 Profitability'!$H$6)</f>
        <v/>
      </c>
      <c r="E19" s="33">
        <f>SUMIFS(Fact_TrialBalance[Amount],Fact_TrialBalance[EntityId],"2749-8567 QI",Fact_TrialBalance[Category],"Payroll &amp; Benefits",Fact_TrialBalance[FiscalYear],'02 Profitability'!$H$6)</f>
        <v/>
      </c>
      <c r="F19" s="33">
        <f>SUMIFS(Fact_TrialBalance[Amount],Fact_TrialBalance[EntityId],"2749-8567 QI",Fact_TrialBalance[Category],"Occupancy",Fact_TrialBalance[FiscalYear],'02 Profitability'!$H$6)</f>
        <v/>
      </c>
      <c r="G19" s="33">
        <f>SUMIFS(Fact_TrialBalance[Amount],Fact_TrialBalance[EntityId],"2749-8567 QI",Fact_TrialBalance[Category],"Interest &amp; Financing",Fact_TrialBalance[FiscalYear],'02 Profitability'!$H$6)</f>
        <v/>
      </c>
      <c r="H19" s="33">
        <f>SUMIFS(Fact_TrialBalance[Amount],Fact_TrialBalance[EntityId],"2749-8567 QI",Fact_TrialBalance[Category],"Amortization",Fact_TrialBalance[FiscalYear],'02 Profitability'!$H$6)</f>
        <v/>
      </c>
      <c r="I19" s="33">
        <f>SUMIFS(Fact_TrialBalance[Amount],Fact_TrialBalance[EntityId],"2749-8567 QI",Fact_TrialBalance[Category],"Income Tax",Fact_TrialBalance[FiscalYear],'02 Profitability'!$H$6)</f>
        <v/>
      </c>
      <c r="J19" s="33">
        <f>-(SUMIFS(Fact_TrialBalance[Amount],Fact_TrialBalance[EntityId],"2749-8567 QI",Fact_TrialBalance[FiscalYear],'02 Profitability'!$H$6)-SUMPRODUCT((Fact_TrialBalance[EntityId]="2749-8567 QI")*(Fact_TrialBalance[FiscalYear]='02 Profitability'!$H$6)*(ISNUMBER(MATCH(Fact_TrialBalance[Category],{"Interest &amp; Financing","Amortization","Income Tax"},0)))*Fact_TrialBalance[Amount]))</f>
        <v/>
      </c>
      <c r="K19" s="33">
        <f>-SUMIFS(Fact_TrialBalance[Amount],Fact_TrialBalance[EntityId],"2749-8567 QI",Fact_TrialBalance[FiscalYear],'02 Profitability'!$H$6)</f>
        <v/>
      </c>
      <c r="L19" s="1" t="n"/>
    </row>
    <row r="20">
      <c r="A20" s="1" t="inlineStr">
        <is>
          <t>Sandhu &amp; Sandhu Enr.</t>
        </is>
      </c>
      <c r="B20" s="1" t="inlineStr">
        <is>
          <t>RealCo</t>
        </is>
      </c>
      <c r="C20" s="33">
        <f>-SUMIFS(Fact_TrialBalance[Amount],Fact_TrialBalance[EntityId],"N/A_SanSan",Fact_TrialBalance[Category],"Operating Revenue",Fact_TrialBalance[FiscalYear],'02 Profitability'!$H$6)</f>
        <v/>
      </c>
      <c r="D20" s="33">
        <f>SUMIFS(Fact_TrialBalance[Amount],Fact_TrialBalance[EntityId],"N/A_SanSan",Fact_TrialBalance[Category],"COGS",Fact_TrialBalance[FiscalYear],'02 Profitability'!$H$6)</f>
        <v/>
      </c>
      <c r="E20" s="33">
        <f>SUMIFS(Fact_TrialBalance[Amount],Fact_TrialBalance[EntityId],"N/A_SanSan",Fact_TrialBalance[Category],"Payroll &amp; Benefits",Fact_TrialBalance[FiscalYear],'02 Profitability'!$H$6)</f>
        <v/>
      </c>
      <c r="F20" s="33">
        <f>SUMIFS(Fact_TrialBalance[Amount],Fact_TrialBalance[EntityId],"N/A_SanSan",Fact_TrialBalance[Category],"Occupancy",Fact_TrialBalance[FiscalYear],'02 Profitability'!$H$6)</f>
        <v/>
      </c>
      <c r="G20" s="33">
        <f>SUMIFS(Fact_TrialBalance[Amount],Fact_TrialBalance[EntityId],"N/A_SanSan",Fact_TrialBalance[Category],"Interest &amp; Financing",Fact_TrialBalance[FiscalYear],'02 Profitability'!$H$6)</f>
        <v/>
      </c>
      <c r="H20" s="33">
        <f>SUMIFS(Fact_TrialBalance[Amount],Fact_TrialBalance[EntityId],"N/A_SanSan",Fact_TrialBalance[Category],"Amortization",Fact_TrialBalance[FiscalYear],'02 Profitability'!$H$6)</f>
        <v/>
      </c>
      <c r="I20" s="33">
        <f>SUMIFS(Fact_TrialBalance[Amount],Fact_TrialBalance[EntityId],"N/A_SanSan",Fact_TrialBalance[Category],"Income Tax",Fact_TrialBalance[FiscalYear],'02 Profitability'!$H$6)</f>
        <v/>
      </c>
      <c r="J20" s="33">
        <f>-(SUMIFS(Fact_TrialBalance[Amount],Fact_TrialBalance[EntityId],"N/A_SanSan",Fact_TrialBalance[FiscalYear],'02 Profitability'!$H$6)-SUMPRODUCT((Fact_TrialBalance[EntityId]="N/A_SanSan")*(Fact_TrialBalance[FiscalYear]='02 Profitability'!$H$6)*(ISNUMBER(MATCH(Fact_TrialBalance[Category],{"Interest &amp; Financing","Amortization","Income Tax"},0)))*Fact_TrialBalance[Amount]))</f>
        <v/>
      </c>
      <c r="K20" s="33">
        <f>-SUMIFS(Fact_TrialBalance[Amount],Fact_TrialBalance[EntityId],"N/A_SanSan",Fact_TrialBalance[FiscalYear],'02 Profitability'!$H$6)</f>
        <v/>
      </c>
      <c r="L20" s="1" t="n"/>
    </row>
    <row r="21">
      <c r="A21" s="1" t="n"/>
      <c r="B21" s="1" t="n"/>
      <c r="C21" s="1" t="n"/>
      <c r="D21" s="1" t="n"/>
      <c r="E21" s="1" t="n"/>
      <c r="F21" s="1" t="n"/>
      <c r="G21" s="1" t="n"/>
      <c r="H21" s="1" t="n"/>
      <c r="I21" s="1" t="n"/>
      <c r="J21" s="1" t="n"/>
      <c r="K21" s="1" t="n"/>
      <c r="L21" s="1" t="n"/>
    </row>
    <row r="22">
      <c r="A22" s="1" t="n"/>
      <c r="B22" s="1" t="n"/>
      <c r="C22" s="1" t="n"/>
      <c r="D22" s="1" t="n"/>
      <c r="E22" s="1" t="n"/>
      <c r="F22" s="1" t="n"/>
      <c r="G22" s="1" t="n"/>
      <c r="H22" s="1" t="n"/>
      <c r="I22" s="1" t="n"/>
      <c r="J22" s="1" t="n"/>
      <c r="K22" s="1" t="n"/>
      <c r="L22" s="1" t="n"/>
    </row>
    <row r="23">
      <c r="A23" s="1" t="n"/>
      <c r="B23" s="1" t="n"/>
      <c r="C23" s="1" t="n"/>
      <c r="D23" s="1" t="n"/>
      <c r="E23" s="1" t="n"/>
      <c r="F23" s="1" t="n"/>
      <c r="G23" s="1" t="n"/>
      <c r="H23" s="1" t="n"/>
      <c r="I23" s="1" t="n"/>
      <c r="J23" s="1" t="n"/>
      <c r="K23" s="1" t="n"/>
      <c r="L23" s="1" t="n"/>
    </row>
    <row r="24">
      <c r="A24" s="1" t="n"/>
      <c r="B24" s="1" t="n"/>
      <c r="C24" s="1" t="n"/>
      <c r="D24" s="1" t="n"/>
      <c r="E24" s="1" t="n"/>
      <c r="F24" s="1" t="n"/>
      <c r="G24" s="1" t="n"/>
      <c r="H24" s="1" t="n"/>
      <c r="I24" s="1" t="n"/>
      <c r="J24" s="1" t="n"/>
      <c r="K24" s="1" t="n"/>
      <c r="L24" s="1" t="n"/>
    </row>
    <row r="25">
      <c r="A25" s="1" t="n"/>
      <c r="B25" s="1" t="n"/>
      <c r="C25" s="1" t="n"/>
      <c r="D25" s="1" t="n"/>
      <c r="E25" s="1" t="n"/>
      <c r="F25" s="1" t="n"/>
      <c r="G25" s="1" t="n"/>
      <c r="H25" s="1" t="n"/>
      <c r="I25" s="1" t="n"/>
      <c r="J25" s="1" t="n"/>
      <c r="K25" s="1" t="n"/>
      <c r="L25" s="1" t="n"/>
    </row>
  </sheetData>
  <mergeCells count="1">
    <mergeCell ref="A1:K2"/>
  </mergeCells>
  <conditionalFormatting sqref="K5:K20">
    <cfRule type="cellIs" priority="1" operator="lessThan" dxfId="0">
      <formula>0</formula>
    </cfRule>
  </conditionalFormatting>
  <printOptions horizontalCentered="0"/>
  <pageMargins left="0.75" right="0.75" top="1" bottom="1" header="0.5" footer="0.5"/>
  <pageSetup orientation="landscape"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tabColor rgb="001C2B45"/>
    <outlinePr summaryBelow="1" summaryRight="1"/>
    <pageSetUpPr fitToPage="1"/>
  </sheetPr>
  <dimension ref="A1:J32"/>
  <sheetViews>
    <sheetView showGridLines="0" workbookViewId="0">
      <selection activeCell="A1" sqref="A1"/>
    </sheetView>
  </sheetViews>
  <sheetFormatPr baseColWidth="8" defaultRowHeight="15"/>
  <cols>
    <col width="3" customWidth="1" min="1" max="1"/>
    <col width="18" customWidth="1" min="2" max="2"/>
    <col width="18" customWidth="1" min="3" max="3"/>
    <col width="18" customWidth="1" min="4" max="4"/>
    <col width="18" customWidth="1" min="5" max="5"/>
    <col width="3" customWidth="1" min="6" max="6"/>
    <col width="18" customWidth="1" min="7" max="7"/>
    <col width="18" customWidth="1" min="8" max="8"/>
  </cols>
  <sheetData>
    <row r="1">
      <c r="A1" s="1" t="n"/>
      <c r="B1" s="1" t="n"/>
      <c r="C1" s="1" t="n"/>
      <c r="D1" s="1" t="n"/>
      <c r="E1" s="1" t="n"/>
      <c r="F1" s="1" t="n"/>
      <c r="G1" s="1" t="n"/>
      <c r="H1" s="1" t="n"/>
      <c r="I1" s="1" t="n"/>
      <c r="J1" s="1" t="n"/>
    </row>
    <row r="2">
      <c r="A2" s="1" t="n"/>
      <c r="B2" s="31" t="inlineStr">
        <is>
          <t>Group Summary — driven by 02 Profitability's fiscal-year selector</t>
        </is>
      </c>
      <c r="C2" s="20" t="n"/>
      <c r="D2" s="20" t="n"/>
      <c r="E2" s="20" t="n"/>
      <c r="F2" s="20" t="n"/>
      <c r="G2" s="20" t="n"/>
      <c r="H2" s="20" t="n"/>
      <c r="I2" s="1" t="n"/>
      <c r="J2" s="1" t="n"/>
    </row>
    <row r="3">
      <c r="A3" s="1" t="n"/>
      <c r="C3" s="20" t="n"/>
      <c r="D3" s="20" t="n"/>
      <c r="E3" s="20" t="n"/>
      <c r="F3" s="20" t="n"/>
      <c r="G3" s="20" t="n"/>
      <c r="H3" s="20" t="n"/>
      <c r="I3" s="1" t="n"/>
      <c r="J3" s="1" t="n"/>
    </row>
    <row r="4">
      <c r="A4" s="1" t="n"/>
      <c r="B4" s="1" t="n"/>
      <c r="C4" s="1" t="n"/>
      <c r="D4" s="1" t="n"/>
      <c r="E4" s="1" t="n"/>
      <c r="F4" s="1" t="n"/>
      <c r="G4" s="1" t="n"/>
      <c r="H4" s="1" t="n"/>
      <c r="I4" s="1" t="n"/>
      <c r="J4" s="1" t="n"/>
    </row>
    <row r="5">
      <c r="A5" s="1" t="n"/>
      <c r="B5" s="46" t="inlineStr">
        <is>
          <t>16-entity group total (per Entity Register) — 2 family trusts pending WTB files</t>
        </is>
      </c>
      <c r="C5" s="1" t="n"/>
      <c r="D5" s="1" t="n"/>
      <c r="E5" s="1" t="n"/>
      <c r="F5" s="1" t="n"/>
      <c r="G5" s="1" t="n"/>
      <c r="H5" s="1" t="n"/>
      <c r="I5" s="1" t="n"/>
      <c r="J5" s="1" t="n"/>
    </row>
    <row r="6">
      <c r="A6" s="1" t="n"/>
      <c r="B6" s="26" t="inlineStr">
        <is>
          <t>GROUP REVENUE</t>
        </is>
      </c>
      <c r="C6" s="27" t="n"/>
      <c r="D6" s="29" t="inlineStr">
        <is>
          <t>GROUP EBITDA</t>
        </is>
      </c>
      <c r="E6" s="27" t="n"/>
      <c r="F6" s="1" t="n"/>
      <c r="G6" s="26" t="inlineStr">
        <is>
          <t>GROUP NET INCOME</t>
        </is>
      </c>
      <c r="H6" s="27" t="n"/>
      <c r="I6" s="1" t="n"/>
      <c r="J6" s="1" t="n"/>
    </row>
    <row r="7">
      <c r="A7" s="1" t="n"/>
      <c r="B7" s="28">
        <f>SUM('Entity Register'!C5:C20)</f>
        <v/>
      </c>
      <c r="C7" s="27" t="n"/>
      <c r="D7" s="28">
        <f>SUM('Entity Register'!J5:J20)</f>
        <v/>
      </c>
      <c r="E7" s="27" t="n"/>
      <c r="F7" s="1" t="n"/>
      <c r="G7" s="28">
        <f>SUM('Entity Register'!K5:K20)</f>
        <v/>
      </c>
      <c r="H7" s="27" t="n"/>
      <c r="I7" s="1" t="n"/>
      <c r="J7" s="1" t="n"/>
    </row>
    <row r="8">
      <c r="A8" s="1" t="n"/>
      <c r="B8" s="27" t="n"/>
      <c r="C8" s="27" t="n"/>
      <c r="D8" s="27" t="n"/>
      <c r="E8" s="27" t="n"/>
      <c r="F8" s="1" t="n"/>
      <c r="G8" s="27" t="n"/>
      <c r="H8" s="27" t="n"/>
      <c r="I8" s="1" t="n"/>
      <c r="J8" s="1" t="n"/>
    </row>
    <row r="9">
      <c r="A9" s="1" t="n"/>
      <c r="B9" s="1" t="n"/>
      <c r="C9" s="1" t="n"/>
      <c r="D9" s="1" t="n"/>
      <c r="E9" s="1" t="n"/>
      <c r="F9" s="1" t="n"/>
      <c r="G9" s="1" t="n"/>
      <c r="H9" s="1" t="n"/>
      <c r="I9" s="1" t="n"/>
      <c r="J9" s="1" t="n"/>
    </row>
    <row r="10">
      <c r="A10" s="1" t="n"/>
      <c r="B10" s="29" t="inlineStr">
        <is>
          <t>GROUP INCOME TAX</t>
        </is>
      </c>
      <c r="C10" s="27" t="n"/>
      <c r="D10" s="29" t="inlineStr">
        <is>
          <t>EFFECTIVE TAX RATE</t>
        </is>
      </c>
      <c r="E10" s="27" t="n"/>
      <c r="F10" s="1" t="n"/>
      <c r="G10" s="29" t="inlineStr">
        <is>
          <t>ENTITIES IN MODEL</t>
        </is>
      </c>
      <c r="H10" s="27" t="n"/>
      <c r="I10" s="1" t="n"/>
      <c r="J10" s="1" t="n"/>
    </row>
    <row r="11">
      <c r="A11" s="1" t="n"/>
      <c r="B11" s="28">
        <f>SUM('Entity Register'!I5:I20)</f>
        <v/>
      </c>
      <c r="C11" s="27" t="n"/>
      <c r="D11" s="30">
        <f>IFERROR(SUM('Entity Register'!I5:I20)/(SUM('Entity Register'!K5:K20)+SUM('Entity Register'!I5:I20)),0)</f>
        <v/>
      </c>
      <c r="E11" s="27" t="n"/>
      <c r="F11" s="1" t="n"/>
      <c r="G11" s="47">
        <f>COUNTA('Entity Register'!A5:A20)</f>
        <v/>
      </c>
      <c r="H11" s="27" t="n"/>
      <c r="I11" s="1" t="n"/>
      <c r="J11" s="1" t="n"/>
    </row>
    <row r="12">
      <c r="A12" s="1" t="n"/>
      <c r="B12" s="27" t="n"/>
      <c r="C12" s="27" t="n"/>
      <c r="D12" s="27" t="n"/>
      <c r="E12" s="27" t="n"/>
      <c r="F12" s="1" t="n"/>
      <c r="G12" s="27" t="n"/>
      <c r="H12" s="27"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31" t="inlineStr">
        <is>
          <t>Revenue &amp; Net Income by Entity</t>
        </is>
      </c>
      <c r="C15" s="20" t="n"/>
      <c r="D15" s="20" t="n"/>
      <c r="E15" s="1" t="n"/>
      <c r="F15" s="1" t="n"/>
      <c r="G15" s="1" t="n"/>
      <c r="H15" s="1" t="n"/>
      <c r="I15" s="1" t="n"/>
      <c r="J15" s="1" t="n"/>
    </row>
    <row r="16">
      <c r="A16" s="1" t="n"/>
      <c r="B16" s="32" t="inlineStr">
        <is>
          <t>EntityName</t>
        </is>
      </c>
      <c r="C16" s="32" t="inlineStr">
        <is>
          <t>Revenue</t>
        </is>
      </c>
      <c r="D16" s="32" t="inlineStr">
        <is>
          <t>Net Income</t>
        </is>
      </c>
      <c r="E16" s="1" t="n"/>
      <c r="F16" s="1" t="n"/>
      <c r="G16" s="1" t="n"/>
      <c r="H16" s="1" t="n"/>
      <c r="I16" s="1" t="n"/>
      <c r="J16" s="1" t="n"/>
    </row>
    <row r="17">
      <c r="A17" s="1" t="n"/>
      <c r="B17" s="1">
        <f>'Entity Register'!A5</f>
        <v/>
      </c>
      <c r="C17" s="33">
        <f>'Entity Register'!C5</f>
        <v/>
      </c>
      <c r="D17" s="33">
        <f>'Entity Register'!K5</f>
        <v/>
      </c>
      <c r="E17" s="1" t="n"/>
      <c r="F17" s="1" t="n"/>
      <c r="G17" s="1" t="n"/>
      <c r="H17" s="1" t="n"/>
      <c r="I17" s="1" t="n"/>
      <c r="J17" s="1" t="n"/>
    </row>
    <row r="18">
      <c r="A18" s="1" t="n"/>
      <c r="B18" s="1">
        <f>'Entity Register'!A6</f>
        <v/>
      </c>
      <c r="C18" s="33">
        <f>'Entity Register'!C6</f>
        <v/>
      </c>
      <c r="D18" s="33">
        <f>'Entity Register'!K6</f>
        <v/>
      </c>
      <c r="E18" s="1" t="n"/>
      <c r="F18" s="1" t="n"/>
      <c r="G18" s="1" t="n"/>
      <c r="H18" s="1" t="n"/>
      <c r="I18" s="1" t="n"/>
      <c r="J18" s="1" t="n"/>
    </row>
    <row r="19">
      <c r="A19" s="1" t="n"/>
      <c r="B19" s="1">
        <f>'Entity Register'!A7</f>
        <v/>
      </c>
      <c r="C19" s="33">
        <f>'Entity Register'!C7</f>
        <v/>
      </c>
      <c r="D19" s="33">
        <f>'Entity Register'!K7</f>
        <v/>
      </c>
      <c r="E19" s="1" t="n"/>
      <c r="F19" s="1" t="n"/>
      <c r="G19" s="1" t="n"/>
      <c r="H19" s="1" t="n"/>
      <c r="I19" s="1" t="n"/>
      <c r="J19" s="1" t="n"/>
    </row>
    <row r="20">
      <c r="A20" s="1" t="n"/>
      <c r="B20" s="1">
        <f>'Entity Register'!A8</f>
        <v/>
      </c>
      <c r="C20" s="33">
        <f>'Entity Register'!C8</f>
        <v/>
      </c>
      <c r="D20" s="33">
        <f>'Entity Register'!K8</f>
        <v/>
      </c>
      <c r="E20" s="1" t="n"/>
      <c r="F20" s="1" t="n"/>
      <c r="G20" s="1" t="n"/>
      <c r="H20" s="1" t="n"/>
      <c r="I20" s="1" t="n"/>
      <c r="J20" s="1" t="n"/>
    </row>
    <row r="21">
      <c r="A21" s="1" t="n"/>
      <c r="B21" s="1">
        <f>'Entity Register'!A9</f>
        <v/>
      </c>
      <c r="C21" s="33">
        <f>'Entity Register'!C9</f>
        <v/>
      </c>
      <c r="D21" s="33">
        <f>'Entity Register'!K9</f>
        <v/>
      </c>
      <c r="E21" s="1" t="n"/>
      <c r="F21" s="1" t="n"/>
      <c r="G21" s="1" t="n"/>
      <c r="H21" s="1" t="n"/>
      <c r="I21" s="1" t="n"/>
      <c r="J21" s="1" t="n"/>
    </row>
    <row r="22">
      <c r="A22" s="1" t="n"/>
      <c r="B22" s="1">
        <f>'Entity Register'!A10</f>
        <v/>
      </c>
      <c r="C22" s="33">
        <f>'Entity Register'!C10</f>
        <v/>
      </c>
      <c r="D22" s="33">
        <f>'Entity Register'!K10</f>
        <v/>
      </c>
      <c r="E22" s="1" t="n"/>
      <c r="F22" s="1" t="n"/>
      <c r="G22" s="1" t="n"/>
      <c r="H22" s="1" t="n"/>
      <c r="I22" s="1" t="n"/>
      <c r="J22" s="1" t="n"/>
    </row>
    <row r="23">
      <c r="A23" s="1" t="n"/>
      <c r="B23" s="1">
        <f>'Entity Register'!A11</f>
        <v/>
      </c>
      <c r="C23" s="33">
        <f>'Entity Register'!C11</f>
        <v/>
      </c>
      <c r="D23" s="33">
        <f>'Entity Register'!K11</f>
        <v/>
      </c>
      <c r="E23" s="1" t="n"/>
      <c r="F23" s="1" t="n"/>
      <c r="G23" s="1" t="n"/>
      <c r="H23" s="1" t="n"/>
      <c r="I23" s="1" t="n"/>
      <c r="J23" s="1" t="n"/>
    </row>
    <row r="24">
      <c r="A24" s="1" t="n"/>
      <c r="B24" s="1">
        <f>'Entity Register'!A12</f>
        <v/>
      </c>
      <c r="C24" s="33">
        <f>'Entity Register'!C12</f>
        <v/>
      </c>
      <c r="D24" s="33">
        <f>'Entity Register'!K12</f>
        <v/>
      </c>
      <c r="E24" s="1" t="n"/>
      <c r="F24" s="1" t="n"/>
      <c r="G24" s="1" t="n"/>
      <c r="H24" s="1" t="n"/>
      <c r="I24" s="1" t="n"/>
      <c r="J24" s="1" t="n"/>
    </row>
    <row r="25">
      <c r="A25" s="1" t="n"/>
      <c r="B25" s="1">
        <f>'Entity Register'!A13</f>
        <v/>
      </c>
      <c r="C25" s="33">
        <f>'Entity Register'!C13</f>
        <v/>
      </c>
      <c r="D25" s="33">
        <f>'Entity Register'!K13</f>
        <v/>
      </c>
      <c r="E25" s="1" t="n"/>
      <c r="F25" s="1" t="n"/>
      <c r="G25" s="1" t="n"/>
      <c r="H25" s="1" t="n"/>
      <c r="I25" s="1" t="n"/>
      <c r="J25" s="1" t="n"/>
    </row>
    <row r="26">
      <c r="B26">
        <f>'Entity Register'!A14</f>
        <v/>
      </c>
      <c r="C26" s="48">
        <f>'Entity Register'!C14</f>
        <v/>
      </c>
      <c r="D26" s="48">
        <f>'Entity Register'!K14</f>
        <v/>
      </c>
    </row>
    <row r="27">
      <c r="B27">
        <f>'Entity Register'!A15</f>
        <v/>
      </c>
      <c r="C27" s="48">
        <f>'Entity Register'!C15</f>
        <v/>
      </c>
      <c r="D27" s="48">
        <f>'Entity Register'!K15</f>
        <v/>
      </c>
    </row>
    <row r="28">
      <c r="B28">
        <f>'Entity Register'!A16</f>
        <v/>
      </c>
      <c r="C28" s="48">
        <f>'Entity Register'!C16</f>
        <v/>
      </c>
      <c r="D28" s="48">
        <f>'Entity Register'!K16</f>
        <v/>
      </c>
    </row>
    <row r="29">
      <c r="B29">
        <f>'Entity Register'!A17</f>
        <v/>
      </c>
      <c r="C29" s="48">
        <f>'Entity Register'!C17</f>
        <v/>
      </c>
      <c r="D29" s="48">
        <f>'Entity Register'!K17</f>
        <v/>
      </c>
    </row>
    <row r="30">
      <c r="B30">
        <f>'Entity Register'!A18</f>
        <v/>
      </c>
      <c r="C30" s="48">
        <f>'Entity Register'!C18</f>
        <v/>
      </c>
      <c r="D30" s="48">
        <f>'Entity Register'!K18</f>
        <v/>
      </c>
    </row>
    <row r="31">
      <c r="B31">
        <f>'Entity Register'!A19</f>
        <v/>
      </c>
      <c r="C31" s="48">
        <f>'Entity Register'!C19</f>
        <v/>
      </c>
      <c r="D31" s="48">
        <f>'Entity Register'!K19</f>
        <v/>
      </c>
    </row>
    <row r="32">
      <c r="B32">
        <f>'Entity Register'!A20</f>
        <v/>
      </c>
      <c r="C32" s="48">
        <f>'Entity Register'!C20</f>
        <v/>
      </c>
      <c r="D32" s="48">
        <f>'Entity Register'!K20</f>
        <v/>
      </c>
    </row>
  </sheetData>
  <mergeCells count="14">
    <mergeCell ref="D6:E6"/>
    <mergeCell ref="B6:C6"/>
    <mergeCell ref="G7:H8"/>
    <mergeCell ref="D10:E10"/>
    <mergeCell ref="D7:E8"/>
    <mergeCell ref="B7:C8"/>
    <mergeCell ref="B11:C12"/>
    <mergeCell ref="G10:H10"/>
    <mergeCell ref="B10:C10"/>
    <mergeCell ref="D11:E12"/>
    <mergeCell ref="G11:H12"/>
    <mergeCell ref="B2:H3"/>
    <mergeCell ref="G6:H6"/>
    <mergeCell ref="B15:D15"/>
  </mergeCells>
  <printOptions horizontalCentered="0"/>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6B7280"/>
    <outlinePr summaryBelow="1" summaryRight="1"/>
    <pageSetUpPr fitToPage="1"/>
  </sheetPr>
  <dimension ref="A1:B45"/>
  <sheetViews>
    <sheetView workbookViewId="0">
      <selection activeCell="A1" sqref="A1"/>
    </sheetView>
  </sheetViews>
  <sheetFormatPr baseColWidth="8" defaultRowHeight="15"/>
  <cols>
    <col width="100" customWidth="1" min="1" max="1"/>
  </cols>
  <sheetData>
    <row r="1">
      <c r="A1" s="49" t="inlineStr">
        <is>
          <t>SANDHU GROUP INTERACTIVE DASHBOARD — Build Notes</t>
        </is>
      </c>
      <c r="B1" s="1" t="n"/>
    </row>
    <row r="2">
      <c r="A2" s="50" t="inlineStr"/>
      <c r="B2" s="1" t="n"/>
    </row>
    <row r="3">
      <c r="A3" s="50" t="inlineStr">
        <is>
          <t>Scope: 16 of 18 entities. Every one of these was rebuilt fresh from its raw CaseWare WTB export in this session (not carried over from any prior file) and covers 3 fiscal years: FY2023, FY2024, FY2025.</t>
        </is>
      </c>
      <c r="B3" s="1" t="n"/>
    </row>
    <row r="4">
      <c r="A4" s="50" t="inlineStr"/>
      <c r="B4" s="1" t="n"/>
    </row>
    <row r="5">
      <c r="A5" s="50" t="inlineStr">
        <is>
          <t>Missing: both family trusts (Gurpreet Sandhu Trust, Harpreet Sandhu Trust — ~$4-$10/yr activity per the handoff, no files supplied) and Sandhu &amp; Sandhu Enr.'s Corporate Taxprep export (its WTB was supplied and is included).</t>
        </is>
      </c>
      <c r="B5" s="1" t="n"/>
    </row>
    <row r="6">
      <c r="A6" s="50" t="inlineStr"/>
      <c r="B6" s="1" t="n"/>
    </row>
    <row r="7">
      <c r="A7" s="51" t="inlineStr">
        <is>
          <t>UNEXPECTED FILE: 947_338_2025_Tax.csv identifies its filer as '9475-3381 Québec Inc.' — an entity not in the Section 4 entity list at all. No WTB was supplied for it, so it is NOT included in this workbook. Flagged for you to confirm whether it belongs in the group.</t>
        </is>
      </c>
      <c r="B7" s="1" t="n"/>
    </row>
    <row r="8">
      <c r="A8" s="50" t="inlineStr"/>
      <c r="B8" s="1" t="n"/>
    </row>
    <row r="9">
      <c r="A9" s="52" t="inlineStr">
        <is>
          <t>VALIDATION — every entity's FY2025 Net Income matches an independent benchmark exactly:</t>
        </is>
      </c>
      <c r="B9" s="1" t="n"/>
    </row>
    <row r="10">
      <c r="A10" s="53" t="inlineStr">
        <is>
          <t xml:space="preserve">  Restaurant IndiaRosa 2 matches every Section 6 category benchmark to the penny (Net Income FY2025 $462,894.92, FY2024 $736,959.45) — see the account-level exceptions below.</t>
        </is>
      </c>
      <c r="B10" s="1" t="n"/>
    </row>
    <row r="11">
      <c r="A11" s="53" t="inlineStr">
        <is>
          <t xml:space="preserve">  All other 15 entities match the Validation Log tab in GIFI_Master_Mapping_v2.xlsx exactly, including Bistro Guru Inc. ($-30,118.89), which RESOLVES the discrepancy flagged in an earlier version of this workbook (the old starter kit's $-45,954.06 figure for Bistro Guru was wrong; the fresh WTB rebuild confirms the Validation Log was correct).</t>
        </is>
      </c>
      <c r="B11" s="1" t="n"/>
    </row>
    <row r="12">
      <c r="A12" s="50" t="inlineStr"/>
      <c r="B12" s="1" t="n"/>
    </row>
    <row r="13">
      <c r="A13" s="50" t="inlineStr">
        <is>
          <t>Restaurant IndiaRosa 2 — three accounts in its WTB carry a GIFI code that contradicts the account name; treated as account-level overrides, not changes to the master GIFI mapping:</t>
        </is>
      </c>
      <c r="B13" s="1" t="n"/>
    </row>
    <row r="14">
      <c r="A14" s="53" t="inlineStr">
        <is>
          <t xml:space="preserve">  Acct 45130 'Valet service' + 45125 'Musical entertainment' — tagged GIFI 9270 (Amortization) -&gt; reclassified to Marketing &amp; Entertainment.</t>
        </is>
      </c>
      <c r="B14" s="1" t="n"/>
    </row>
    <row r="15">
      <c r="A15" s="53" t="inlineStr">
        <is>
          <t xml:space="preserve">  Acct 44215 'Rent - Ford' + 33455 'Equipment rental' + 45250 'Travelling - gas &amp; repairs' — tagged GIFI 8461 (COGS) -&gt; reclassified to Other Operating.</t>
        </is>
      </c>
      <c r="B15" s="1" t="n"/>
    </row>
    <row r="16">
      <c r="A16" s="53" t="inlineStr">
        <is>
          <t xml:space="preserve">  Acct 45150 'Consulting fees' — tagged GIFI 8863 (Administrative) -&gt; reclassified to Other Operating per user confirmation (matches Section 6 Admin $99,729 / Other Operating $79,976 exactly).</t>
        </is>
      </c>
      <c r="B16" s="1" t="n"/>
    </row>
    <row r="17">
      <c r="A17" s="50" t="inlineStr"/>
      <c r="B17" s="1" t="n"/>
    </row>
    <row r="18">
      <c r="A18" s="50" t="inlineStr">
        <is>
          <t>Sandhu &amp; Sandhu Enr. — two Map No formatting variants ('40.1' vs '40. 1') were causing 3 accounts to fall through the fallback table uncategorized; fixed by normalizing whitespace in the Map No match, plus adding one missing fallback row (Map No '40. 3' -&gt; Administrative, Insurance). After the fix, FY2025 Net Income matches the Validation Log exactly ($-15,821.17).</t>
        </is>
      </c>
      <c r="B18" s="1" t="n"/>
    </row>
    <row r="19">
      <c r="A19" s="50" t="inlineStr"/>
      <c r="B19" s="1" t="n"/>
    </row>
    <row r="20">
      <c r="A20" s="51" t="inlineStr">
        <is>
          <t>UNRESOLVED: group-level FY2025 Revenue ($14,945,731) and EBITDA ($2,734,142) are within ~0.5% and ~1.8% of the Section 6 16-entity benchmark ($14,873,731 / $2,784,496) despite every single entity's own Net Income matching its benchmark exactly. Income Tax and Investment &amp; Other Income match exactly. This means a small amount is sitting in a different category than the original benchmark used, in one or two entities — similar in nature to IndiaRosa 2's account exceptions above, but not yet isolated. Group Net Income is within $5,014 (0.8%) of benchmark.</t>
        </is>
      </c>
      <c r="B20" s="1" t="n"/>
    </row>
    <row r="21">
      <c r="A21" s="50" t="inlineStr"/>
      <c r="B21" s="1" t="n"/>
    </row>
    <row r="22">
      <c r="A22" s="50" t="inlineStr">
        <is>
          <t>NOT YET INCLUDED: RDTOH and CDA (confirmed absent from the Taxprep export tested — see 03 Tax Position). SBD/GRIP/Part I tax figures are real for IndiaRosa 2's 14 associated corporations (from its Taxprep SLIPA schedule) but each entity's OWN SBD claim from its own Taxprep export has not yet been pulled in — only IndiaRosa 2's Tax CSV has been mined for Section 3-style data.</t>
        </is>
      </c>
      <c r="B22" s="1" t="n"/>
    </row>
    <row r="23">
      <c r="A23" s="50" t="inlineStr"/>
      <c r="B23" s="1" t="n"/>
    </row>
    <row r="24">
      <c r="A24" s="50" t="inlineStr">
        <is>
          <t>Interactivity: this workbook uses dropdown selectors ('02 Profitability'!C6 Entity, !H6 Fiscal Year) driving live SUMIFS formulas and charts — no Power Pivot/DAX setup required, works in any version of Excel. Entity Register and raw data sheets are Excel Tables with built-in filter dropdowns per column.</t>
        </is>
      </c>
      <c r="B24" s="1" t="n"/>
    </row>
    <row r="25">
      <c r="A25" s="50" t="inlineStr"/>
      <c r="B25" s="1" t="n"/>
    </row>
    <row r="26">
      <c r="A26" s="50" t="inlineStr">
        <is>
          <t>Recalculated and verified in LibreOffice headless — every KPI card and cross-check in this sheet was confirmed against the actual computed cell values, not just the formula text.</t>
        </is>
      </c>
      <c r="B26" s="1" t="n"/>
    </row>
    <row r="27">
      <c r="A27" s="1" t="n"/>
      <c r="B27" s="1" t="n"/>
    </row>
    <row r="28">
      <c r="A28" s="1" t="n"/>
      <c r="B28" s="1" t="n"/>
    </row>
    <row r="29">
      <c r="A29" s="1" t="n"/>
      <c r="B29" s="1" t="n"/>
    </row>
    <row r="30">
      <c r="A30" s="1" t="n"/>
      <c r="B30" s="1" t="n"/>
    </row>
    <row r="31">
      <c r="A31" s="1" t="n"/>
      <c r="B31" s="1" t="n"/>
    </row>
    <row r="32">
      <c r="A32" s="1" t="n"/>
      <c r="B32" s="1" t="n"/>
    </row>
    <row r="33">
      <c r="A33" s="1" t="n"/>
      <c r="B33" s="1" t="n"/>
    </row>
    <row r="34">
      <c r="A34" s="1" t="n"/>
      <c r="B34" s="1" t="n"/>
    </row>
    <row r="35">
      <c r="A35" s="1" t="n"/>
      <c r="B35" s="1" t="n"/>
    </row>
    <row r="36">
      <c r="A36" s="1" t="n"/>
      <c r="B36" s="1" t="n"/>
    </row>
    <row r="37">
      <c r="A37" s="1" t="n"/>
      <c r="B37" s="1" t="n"/>
    </row>
    <row r="38">
      <c r="A38" s="1" t="n"/>
      <c r="B38" s="1" t="n"/>
    </row>
    <row r="39">
      <c r="A39" s="1" t="n"/>
      <c r="B39" s="1" t="n"/>
    </row>
    <row r="40">
      <c r="A40" s="1" t="n"/>
      <c r="B40" s="1" t="n"/>
    </row>
    <row r="41">
      <c r="A41" s="1" t="n"/>
      <c r="B41" s="1" t="n"/>
    </row>
    <row r="42">
      <c r="A42" s="1" t="n"/>
      <c r="B42" s="1" t="n"/>
    </row>
    <row r="43">
      <c r="A43" s="1" t="n"/>
      <c r="B43" s="1" t="n"/>
    </row>
    <row r="44">
      <c r="A44" s="1" t="n"/>
      <c r="B44" s="1" t="n"/>
    </row>
    <row r="45">
      <c r="A45" s="1" t="n"/>
      <c r="B45" s="1" t="n"/>
    </row>
  </sheetData>
  <printOptions horizontalCentered="0"/>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16" customWidth="1" min="1" max="1"/>
    <col width="30" customWidth="1" min="2" max="2"/>
    <col width="20" customWidth="1" min="3" max="3"/>
  </cols>
  <sheetData>
    <row r="1">
      <c r="A1" s="54" t="inlineStr">
        <is>
          <t>EntityId</t>
        </is>
      </c>
      <c r="B1" s="54" t="inlineStr">
        <is>
          <t>EntityName</t>
        </is>
      </c>
      <c r="C1" s="54" t="inlineStr">
        <is>
          <t>Segment</t>
        </is>
      </c>
    </row>
    <row r="2">
      <c r="A2" t="inlineStr">
        <is>
          <t>9357-7427 QI</t>
        </is>
      </c>
      <c r="B2" t="inlineStr">
        <is>
          <t>9357-7427 Québec Inc.</t>
        </is>
      </c>
      <c r="C2" t="inlineStr">
        <is>
          <t>HoldCo</t>
        </is>
      </c>
    </row>
    <row r="3">
      <c r="A3" t="inlineStr">
        <is>
          <t>9366-1676 QI</t>
        </is>
      </c>
      <c r="B3" t="inlineStr">
        <is>
          <t>9366-1676 Québec Inc.</t>
        </is>
      </c>
      <c r="C3" t="inlineStr">
        <is>
          <t>HoldCo</t>
        </is>
      </c>
    </row>
    <row r="4">
      <c r="A4" t="inlineStr">
        <is>
          <t>9425-4547 QI</t>
        </is>
      </c>
      <c r="B4" t="inlineStr">
        <is>
          <t>9425-4547 Québec Inc.</t>
        </is>
      </c>
      <c r="C4" t="inlineStr">
        <is>
          <t>HoldCo</t>
        </is>
      </c>
    </row>
    <row r="5">
      <c r="A5" t="inlineStr">
        <is>
          <t>9455-4169 QI</t>
        </is>
      </c>
      <c r="B5" t="inlineStr">
        <is>
          <t>9455-4169 Québec Inc.</t>
        </is>
      </c>
      <c r="C5" t="inlineStr">
        <is>
          <t>HoldCo</t>
        </is>
      </c>
    </row>
    <row r="6">
      <c r="A6" t="inlineStr">
        <is>
          <t>9455-4177 QI</t>
        </is>
      </c>
      <c r="B6" t="inlineStr">
        <is>
          <t>9455-4177 Québec Inc.</t>
        </is>
      </c>
      <c r="C6" t="inlineStr">
        <is>
          <t>HoldCo</t>
        </is>
      </c>
    </row>
    <row r="7">
      <c r="A7" t="inlineStr">
        <is>
          <t>9455-4201 QI</t>
        </is>
      </c>
      <c r="B7" t="inlineStr">
        <is>
          <t>Sandhu Holdco</t>
        </is>
      </c>
      <c r="C7" t="inlineStr">
        <is>
          <t>HoldCo</t>
        </is>
      </c>
    </row>
    <row r="8">
      <c r="A8" t="inlineStr">
        <is>
          <t>9108-6876 QI</t>
        </is>
      </c>
      <c r="B8" t="inlineStr">
        <is>
          <t>Auberge St Louis</t>
        </is>
      </c>
      <c r="C8" t="inlineStr">
        <is>
          <t>Hospitality OpCo</t>
        </is>
      </c>
    </row>
    <row r="9">
      <c r="A9" t="inlineStr">
        <is>
          <t>N/A_BisGur</t>
        </is>
      </c>
      <c r="B9" t="inlineStr">
        <is>
          <t>Bistro Guru Inc.</t>
        </is>
      </c>
      <c r="C9" t="inlineStr">
        <is>
          <t>Restaurant OpCo</t>
        </is>
      </c>
    </row>
    <row r="10">
      <c r="A10" t="inlineStr">
        <is>
          <t>9096-0436 QI</t>
        </is>
      </c>
      <c r="B10" t="inlineStr">
        <is>
          <t>Lobby Lounge</t>
        </is>
      </c>
      <c r="C10" t="inlineStr">
        <is>
          <t>Restaurant OpCo</t>
        </is>
      </c>
    </row>
    <row r="11">
      <c r="A11" t="inlineStr">
        <is>
          <t>9504-7510 QI</t>
        </is>
      </c>
      <c r="B11" t="inlineStr">
        <is>
          <t>Restaurant Heritage</t>
        </is>
      </c>
      <c r="C11" t="inlineStr">
        <is>
          <t>Restaurant OpCo</t>
        </is>
      </c>
    </row>
    <row r="12">
      <c r="A12" t="inlineStr">
        <is>
          <t>9455-8236 QI</t>
        </is>
      </c>
      <c r="B12" t="inlineStr">
        <is>
          <t>Restaurant IndiaRosa 2</t>
        </is>
      </c>
      <c r="C12" t="inlineStr">
        <is>
          <t>Restaurant OpCo</t>
        </is>
      </c>
    </row>
    <row r="13">
      <c r="A13" t="inlineStr">
        <is>
          <t>9525-2854 QI</t>
        </is>
      </c>
      <c r="B13" t="inlineStr">
        <is>
          <t>Restaurant IndiaRosa 3</t>
        </is>
      </c>
      <c r="C13" t="inlineStr">
        <is>
          <t>Restaurant OpCo</t>
        </is>
      </c>
    </row>
    <row r="14">
      <c r="A14" t="inlineStr">
        <is>
          <t>9366-1049 QI</t>
        </is>
      </c>
      <c r="B14" t="inlineStr">
        <is>
          <t>Restaurant IndiaRosa 1</t>
        </is>
      </c>
      <c r="C14" t="inlineStr">
        <is>
          <t>Restaurant OpCo</t>
        </is>
      </c>
    </row>
    <row r="15">
      <c r="A15" t="inlineStr">
        <is>
          <t>9098-0558 QI</t>
        </is>
      </c>
      <c r="B15" t="inlineStr">
        <is>
          <t>Restaurant Sandhu</t>
        </is>
      </c>
      <c r="C15" t="inlineStr">
        <is>
          <t>Restaurant OpCo</t>
        </is>
      </c>
    </row>
    <row r="16">
      <c r="A16" t="inlineStr">
        <is>
          <t>2749-8567 QI</t>
        </is>
      </c>
      <c r="B16" t="inlineStr">
        <is>
          <t>Sandhu Leasing</t>
        </is>
      </c>
      <c r="C16" t="inlineStr">
        <is>
          <t>RealCo</t>
        </is>
      </c>
    </row>
    <row r="17">
      <c r="A17" t="inlineStr">
        <is>
          <t>N/A_SanSan</t>
        </is>
      </c>
      <c r="B17" t="inlineStr">
        <is>
          <t>Sandhu &amp; Sandhu Enr.</t>
        </is>
      </c>
      <c r="C17" t="inlineStr">
        <is>
          <t>RealCo</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14" customWidth="1" min="1" max="1"/>
    <col width="14" customWidth="1" min="2" max="2"/>
    <col width="26" customWidth="1" min="3" max="3"/>
  </cols>
  <sheetData>
    <row r="1">
      <c r="A1" s="54" t="inlineStr">
        <is>
          <t>FiscalYear</t>
        </is>
      </c>
      <c r="B1" s="54" t="inlineStr">
        <is>
          <t>YearEnd</t>
        </is>
      </c>
      <c r="C1" s="54" t="inlineStr">
        <is>
          <t>YearLabel</t>
        </is>
      </c>
    </row>
    <row r="2">
      <c r="A2" t="inlineStr">
        <is>
          <t>FY2023</t>
        </is>
      </c>
      <c r="B2" t="inlineStr">
        <is>
          <t>2023-03-31</t>
        </is>
      </c>
      <c r="C2" t="inlineStr">
        <is>
          <t>FY2023</t>
        </is>
      </c>
    </row>
    <row r="3">
      <c r="A3" t="inlineStr">
        <is>
          <t>FY2024</t>
        </is>
      </c>
      <c r="B3" t="inlineStr">
        <is>
          <t>2024-03-31</t>
        </is>
      </c>
      <c r="C3" t="inlineStr">
        <is>
          <t>FY2024</t>
        </is>
      </c>
    </row>
    <row r="4">
      <c r="A4" t="inlineStr">
        <is>
          <t>FY2025</t>
        </is>
      </c>
      <c r="B4" t="inlineStr">
        <is>
          <t>2025-03-31</t>
        </is>
      </c>
      <c r="C4" t="inlineStr">
        <is>
          <t>FY2025</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326"/>
  <sheetViews>
    <sheetView workbookViewId="0">
      <selection activeCell="A1" sqref="A1"/>
    </sheetView>
  </sheetViews>
  <sheetFormatPr baseColWidth="8" defaultRowHeight="15"/>
  <cols>
    <col width="16" customWidth="1" min="1" max="1"/>
    <col width="28" customWidth="1" min="2" max="2"/>
    <col width="12" customWidth="1" min="3" max="3"/>
    <col width="16" customWidth="1" min="4" max="4"/>
  </cols>
  <sheetData>
    <row r="1">
      <c r="A1" s="54" t="inlineStr">
        <is>
          <t>EntityId</t>
        </is>
      </c>
      <c r="B1" s="54" t="inlineStr">
        <is>
          <t>Category</t>
        </is>
      </c>
      <c r="C1" s="54" t="inlineStr">
        <is>
          <t>FiscalYear</t>
        </is>
      </c>
      <c r="D1" s="54" t="inlineStr">
        <is>
          <t>Amount</t>
        </is>
      </c>
    </row>
    <row r="2">
      <c r="A2" t="inlineStr">
        <is>
          <t>9455-8236 QI</t>
        </is>
      </c>
      <c r="B2" t="inlineStr">
        <is>
          <t>Operating Revenue</t>
        </is>
      </c>
      <c r="C2" t="inlineStr">
        <is>
          <t>FY2025</t>
        </is>
      </c>
      <c r="D2" s="48" t="n">
        <v>-5213628.68</v>
      </c>
    </row>
    <row r="3">
      <c r="A3" t="inlineStr">
        <is>
          <t>9455-8236 QI</t>
        </is>
      </c>
      <c r="B3" t="inlineStr">
        <is>
          <t>Management Fees (Interco)</t>
        </is>
      </c>
      <c r="C3" t="inlineStr">
        <is>
          <t>FY2025</t>
        </is>
      </c>
      <c r="D3" s="48" t="n">
        <v>30000</v>
      </c>
    </row>
    <row r="4">
      <c r="A4" t="inlineStr">
        <is>
          <t>9455-8236 QI</t>
        </is>
      </c>
      <c r="B4" t="inlineStr">
        <is>
          <t>Interest &amp; Financing</t>
        </is>
      </c>
      <c r="C4" t="inlineStr">
        <is>
          <t>FY2025</t>
        </is>
      </c>
      <c r="D4" s="48" t="n">
        <v>146738.3</v>
      </c>
    </row>
    <row r="5">
      <c r="A5" t="inlineStr">
        <is>
          <t>9455-8236 QI</t>
        </is>
      </c>
      <c r="B5" t="inlineStr">
        <is>
          <t>Occupancy</t>
        </is>
      </c>
      <c r="C5" t="inlineStr">
        <is>
          <t>FY2025</t>
        </is>
      </c>
      <c r="D5" s="48" t="n">
        <v>474171.72</v>
      </c>
    </row>
    <row r="6">
      <c r="A6" t="inlineStr">
        <is>
          <t>9455-8236 QI</t>
        </is>
      </c>
      <c r="B6" t="inlineStr">
        <is>
          <t>Other Operating</t>
        </is>
      </c>
      <c r="C6" t="inlineStr">
        <is>
          <t>FY2025</t>
        </is>
      </c>
      <c r="D6" s="48" t="n">
        <v>79976.25999999999</v>
      </c>
    </row>
    <row r="7">
      <c r="A7" t="inlineStr">
        <is>
          <t>9455-8236 QI</t>
        </is>
      </c>
      <c r="B7" t="inlineStr">
        <is>
          <t>Administrative</t>
        </is>
      </c>
      <c r="C7" t="inlineStr">
        <is>
          <t>FY2025</t>
        </is>
      </c>
      <c r="D7" s="48" t="n">
        <v>99728.72</v>
      </c>
    </row>
    <row r="8">
      <c r="A8" t="inlineStr">
        <is>
          <t>9455-8236 QI</t>
        </is>
      </c>
      <c r="B8" t="inlineStr">
        <is>
          <t>Marketing &amp; Entertainment</t>
        </is>
      </c>
      <c r="C8" t="inlineStr">
        <is>
          <t>FY2025</t>
        </is>
      </c>
      <c r="D8" s="48" t="n">
        <v>141793.12</v>
      </c>
    </row>
    <row r="9">
      <c r="A9" t="inlineStr">
        <is>
          <t>9455-8236 QI</t>
        </is>
      </c>
      <c r="B9" t="inlineStr">
        <is>
          <t>Amortization</t>
        </is>
      </c>
      <c r="C9" t="inlineStr">
        <is>
          <t>FY2025</t>
        </is>
      </c>
      <c r="D9" s="48" t="n">
        <v>199058</v>
      </c>
    </row>
    <row r="10">
      <c r="A10" t="inlineStr">
        <is>
          <t>9455-8236 QI</t>
        </is>
      </c>
      <c r="B10" t="inlineStr">
        <is>
          <t>COGS</t>
        </is>
      </c>
      <c r="C10" t="inlineStr">
        <is>
          <t>FY2025</t>
        </is>
      </c>
      <c r="D10" s="48" t="n">
        <v>1647558.89</v>
      </c>
    </row>
    <row r="11">
      <c r="A11" t="inlineStr">
        <is>
          <t>9455-8236 QI</t>
        </is>
      </c>
      <c r="B11" t="inlineStr">
        <is>
          <t>Payroll &amp; Benefits</t>
        </is>
      </c>
      <c r="C11" t="inlineStr">
        <is>
          <t>FY2025</t>
        </is>
      </c>
      <c r="D11" s="48" t="n">
        <v>1780201.39</v>
      </c>
    </row>
    <row r="12">
      <c r="A12" t="inlineStr">
        <is>
          <t>9455-8236 QI</t>
        </is>
      </c>
      <c r="B12" t="inlineStr">
        <is>
          <t>Repairs &amp; Maintenance</t>
        </is>
      </c>
      <c r="C12" t="inlineStr">
        <is>
          <t>FY2025</t>
        </is>
      </c>
      <c r="D12" s="48" t="n">
        <v>88959.36</v>
      </c>
    </row>
    <row r="13">
      <c r="A13" t="inlineStr">
        <is>
          <t>9455-8236 QI</t>
        </is>
      </c>
      <c r="B13" t="inlineStr">
        <is>
          <t>Income Tax</t>
        </is>
      </c>
      <c r="C13" t="inlineStr">
        <is>
          <t>FY2025</t>
        </is>
      </c>
      <c r="D13" s="48" t="n">
        <v>62548</v>
      </c>
    </row>
    <row r="14">
      <c r="A14" t="inlineStr">
        <is>
          <t>9455-8236 QI</t>
        </is>
      </c>
      <c r="B14" t="inlineStr">
        <is>
          <t>Operating Revenue</t>
        </is>
      </c>
      <c r="C14" t="inlineStr">
        <is>
          <t>FY2024</t>
        </is>
      </c>
      <c r="D14" s="48" t="n">
        <v>-6233247.68</v>
      </c>
    </row>
    <row r="15">
      <c r="A15" t="inlineStr">
        <is>
          <t>9455-8236 QI</t>
        </is>
      </c>
      <c r="B15" t="inlineStr">
        <is>
          <t>Management Fees (Interco)</t>
        </is>
      </c>
      <c r="C15" t="inlineStr">
        <is>
          <t>FY2024</t>
        </is>
      </c>
      <c r="D15" s="48" t="n">
        <v>105000</v>
      </c>
    </row>
    <row r="16">
      <c r="A16" t="inlineStr">
        <is>
          <t>9455-8236 QI</t>
        </is>
      </c>
      <c r="B16" t="inlineStr">
        <is>
          <t>Interest &amp; Financing</t>
        </is>
      </c>
      <c r="C16" t="inlineStr">
        <is>
          <t>FY2024</t>
        </is>
      </c>
      <c r="D16" s="48" t="n">
        <v>178561.41</v>
      </c>
    </row>
    <row r="17">
      <c r="A17" t="inlineStr">
        <is>
          <t>9455-8236 QI</t>
        </is>
      </c>
      <c r="B17" t="inlineStr">
        <is>
          <t>Occupancy</t>
        </is>
      </c>
      <c r="C17" t="inlineStr">
        <is>
          <t>FY2024</t>
        </is>
      </c>
      <c r="D17" s="48" t="n">
        <v>382549.29</v>
      </c>
    </row>
    <row r="18">
      <c r="A18" t="inlineStr">
        <is>
          <t>9455-8236 QI</t>
        </is>
      </c>
      <c r="B18" t="inlineStr">
        <is>
          <t>Other Operating</t>
        </is>
      </c>
      <c r="C18" t="inlineStr">
        <is>
          <t>FY2024</t>
        </is>
      </c>
      <c r="D18" s="48" t="n">
        <v>73281.73</v>
      </c>
    </row>
    <row r="19">
      <c r="A19" t="inlineStr">
        <is>
          <t>9455-8236 QI</t>
        </is>
      </c>
      <c r="B19" t="inlineStr">
        <is>
          <t>Administrative</t>
        </is>
      </c>
      <c r="C19" t="inlineStr">
        <is>
          <t>FY2024</t>
        </is>
      </c>
      <c r="D19" s="48" t="n">
        <v>88387.59</v>
      </c>
    </row>
    <row r="20">
      <c r="A20" t="inlineStr">
        <is>
          <t>9455-8236 QI</t>
        </is>
      </c>
      <c r="B20" t="inlineStr">
        <is>
          <t>Marketing &amp; Entertainment</t>
        </is>
      </c>
      <c r="C20" t="inlineStr">
        <is>
          <t>FY2024</t>
        </is>
      </c>
      <c r="D20" s="48" t="n">
        <v>161333.63</v>
      </c>
    </row>
    <row r="21">
      <c r="A21" t="inlineStr">
        <is>
          <t>9455-8236 QI</t>
        </is>
      </c>
      <c r="B21" t="inlineStr">
        <is>
          <t>Amortization</t>
        </is>
      </c>
      <c r="C21" t="inlineStr">
        <is>
          <t>FY2024</t>
        </is>
      </c>
      <c r="D21" s="48" t="n">
        <v>222195</v>
      </c>
    </row>
    <row r="22">
      <c r="A22" t="inlineStr">
        <is>
          <t>9455-8236 QI</t>
        </is>
      </c>
      <c r="B22" t="inlineStr">
        <is>
          <t>COGS</t>
        </is>
      </c>
      <c r="C22" t="inlineStr">
        <is>
          <t>FY2024</t>
        </is>
      </c>
      <c r="D22" s="48" t="n">
        <v>1888352.46</v>
      </c>
    </row>
    <row r="23">
      <c r="A23" t="inlineStr">
        <is>
          <t>9455-8236 QI</t>
        </is>
      </c>
      <c r="B23" t="inlineStr">
        <is>
          <t>Payroll &amp; Benefits</t>
        </is>
      </c>
      <c r="C23" t="inlineStr">
        <is>
          <t>FY2024</t>
        </is>
      </c>
      <c r="D23" s="48" t="n">
        <v>2181636.69</v>
      </c>
    </row>
    <row r="24">
      <c r="A24" t="inlineStr">
        <is>
          <t>9455-8236 QI</t>
        </is>
      </c>
      <c r="B24" t="inlineStr">
        <is>
          <t>Repairs &amp; Maintenance</t>
        </is>
      </c>
      <c r="C24" t="inlineStr">
        <is>
          <t>FY2024</t>
        </is>
      </c>
      <c r="D24" s="48" t="n">
        <v>214990.43</v>
      </c>
    </row>
    <row r="25">
      <c r="A25" t="inlineStr">
        <is>
          <t>9455-8236 QI</t>
        </is>
      </c>
      <c r="B25" t="inlineStr">
        <is>
          <t>Operating Revenue</t>
        </is>
      </c>
      <c r="C25" t="inlineStr">
        <is>
          <t>FY2023</t>
        </is>
      </c>
      <c r="D25" s="48" t="n">
        <v>-1331424.61</v>
      </c>
    </row>
    <row r="26">
      <c r="A26" t="inlineStr">
        <is>
          <t>9455-8236 QI</t>
        </is>
      </c>
      <c r="B26" t="inlineStr">
        <is>
          <t>Interest &amp; Financing</t>
        </is>
      </c>
      <c r="C26" t="inlineStr">
        <is>
          <t>FY2023</t>
        </is>
      </c>
      <c r="D26" s="48" t="n">
        <v>26989.26</v>
      </c>
    </row>
    <row r="27">
      <c r="A27" t="inlineStr">
        <is>
          <t>9455-8236 QI</t>
        </is>
      </c>
      <c r="B27" t="inlineStr">
        <is>
          <t>Occupancy</t>
        </is>
      </c>
      <c r="C27" t="inlineStr">
        <is>
          <t>FY2023</t>
        </is>
      </c>
      <c r="D27" s="48" t="n">
        <v>47833.69</v>
      </c>
    </row>
    <row r="28">
      <c r="A28" t="inlineStr">
        <is>
          <t>9455-8236 QI</t>
        </is>
      </c>
      <c r="B28" t="inlineStr">
        <is>
          <t>Other Operating</t>
        </is>
      </c>
      <c r="C28" t="inlineStr">
        <is>
          <t>FY2023</t>
        </is>
      </c>
      <c r="D28" s="48" t="n">
        <v>19176.77</v>
      </c>
    </row>
    <row r="29">
      <c r="A29" t="inlineStr">
        <is>
          <t>9455-8236 QI</t>
        </is>
      </c>
      <c r="B29" t="inlineStr">
        <is>
          <t>Administrative</t>
        </is>
      </c>
      <c r="C29" t="inlineStr">
        <is>
          <t>FY2023</t>
        </is>
      </c>
      <c r="D29" s="48" t="n">
        <v>69851.5</v>
      </c>
    </row>
    <row r="30">
      <c r="A30" t="inlineStr">
        <is>
          <t>9455-8236 QI</t>
        </is>
      </c>
      <c r="B30" t="inlineStr">
        <is>
          <t>Marketing &amp; Entertainment</t>
        </is>
      </c>
      <c r="C30" t="inlineStr">
        <is>
          <t>FY2023</t>
        </is>
      </c>
      <c r="D30" s="48" t="n">
        <v>24668.14</v>
      </c>
    </row>
    <row r="31">
      <c r="A31" t="inlineStr">
        <is>
          <t>9455-8236 QI</t>
        </is>
      </c>
      <c r="B31" t="inlineStr">
        <is>
          <t>Amortization</t>
        </is>
      </c>
      <c r="C31" t="inlineStr">
        <is>
          <t>FY2023</t>
        </is>
      </c>
      <c r="D31" s="48" t="n">
        <v>126996</v>
      </c>
    </row>
    <row r="32">
      <c r="A32" t="inlineStr">
        <is>
          <t>9455-8236 QI</t>
        </is>
      </c>
      <c r="B32" t="inlineStr">
        <is>
          <t>COGS</t>
        </is>
      </c>
      <c r="C32" t="inlineStr">
        <is>
          <t>FY2023</t>
        </is>
      </c>
      <c r="D32" s="48" t="n">
        <v>394933.77</v>
      </c>
    </row>
    <row r="33">
      <c r="A33" t="inlineStr">
        <is>
          <t>9455-8236 QI</t>
        </is>
      </c>
      <c r="B33" t="inlineStr">
        <is>
          <t>Payroll &amp; Benefits</t>
        </is>
      </c>
      <c r="C33" t="inlineStr">
        <is>
          <t>FY2023</t>
        </is>
      </c>
      <c r="D33" s="48" t="n">
        <v>365807.86</v>
      </c>
    </row>
    <row r="34">
      <c r="A34" t="inlineStr">
        <is>
          <t>9455-8236 QI</t>
        </is>
      </c>
      <c r="B34" t="inlineStr">
        <is>
          <t>Repairs &amp; Maintenance</t>
        </is>
      </c>
      <c r="C34" t="inlineStr">
        <is>
          <t>FY2023</t>
        </is>
      </c>
      <c r="D34" s="48" t="n">
        <v>42134.25</v>
      </c>
    </row>
    <row r="35">
      <c r="A35" t="inlineStr">
        <is>
          <t>9357-7427 QI</t>
        </is>
      </c>
      <c r="B35" t="inlineStr">
        <is>
          <t>Payroll &amp; Benefits</t>
        </is>
      </c>
      <c r="C35" t="inlineStr">
        <is>
          <t>FY2025</t>
        </is>
      </c>
      <c r="D35" s="48" t="n">
        <v>477.24</v>
      </c>
    </row>
    <row r="36">
      <c r="A36" t="inlineStr">
        <is>
          <t>9357-7427 QI</t>
        </is>
      </c>
      <c r="B36" t="inlineStr">
        <is>
          <t>Administrative</t>
        </is>
      </c>
      <c r="C36" t="inlineStr">
        <is>
          <t>FY2025</t>
        </is>
      </c>
      <c r="D36" s="48" t="n">
        <v>2597</v>
      </c>
    </row>
    <row r="37">
      <c r="A37" t="inlineStr">
        <is>
          <t>9357-7427 QI</t>
        </is>
      </c>
      <c r="B37" t="inlineStr">
        <is>
          <t>Interest &amp; Financing</t>
        </is>
      </c>
      <c r="C37" t="inlineStr">
        <is>
          <t>FY2025</t>
        </is>
      </c>
      <c r="D37" s="48" t="n">
        <v>72.58</v>
      </c>
    </row>
    <row r="38">
      <c r="A38" t="inlineStr">
        <is>
          <t>9357-7427 QI</t>
        </is>
      </c>
      <c r="B38" t="inlineStr">
        <is>
          <t>Payroll &amp; Benefits</t>
        </is>
      </c>
      <c r="C38" t="inlineStr">
        <is>
          <t>FY2024</t>
        </is>
      </c>
      <c r="D38" s="48" t="n">
        <v>358.94</v>
      </c>
    </row>
    <row r="39">
      <c r="A39" t="inlineStr">
        <is>
          <t>9357-7427 QI</t>
        </is>
      </c>
      <c r="B39" t="inlineStr">
        <is>
          <t>Administrative</t>
        </is>
      </c>
      <c r="C39" t="inlineStr">
        <is>
          <t>FY2024</t>
        </is>
      </c>
      <c r="D39" s="48" t="n">
        <v>2329</v>
      </c>
    </row>
    <row r="40">
      <c r="A40" t="inlineStr">
        <is>
          <t>9357-7427 QI</t>
        </is>
      </c>
      <c r="B40" t="inlineStr">
        <is>
          <t>Interest &amp; Financing</t>
        </is>
      </c>
      <c r="C40" t="inlineStr">
        <is>
          <t>FY2024</t>
        </is>
      </c>
      <c r="D40" s="48" t="n">
        <v>47.81</v>
      </c>
    </row>
    <row r="41">
      <c r="A41" t="inlineStr">
        <is>
          <t>9357-7427 QI</t>
        </is>
      </c>
      <c r="B41" t="inlineStr">
        <is>
          <t>Operating Revenue</t>
        </is>
      </c>
      <c r="C41" t="inlineStr">
        <is>
          <t>FY2023</t>
        </is>
      </c>
      <c r="D41" s="48" t="n">
        <v>-31929</v>
      </c>
    </row>
    <row r="42">
      <c r="A42" t="inlineStr">
        <is>
          <t>9357-7427 QI</t>
        </is>
      </c>
      <c r="B42" t="inlineStr">
        <is>
          <t>COGS</t>
        </is>
      </c>
      <c r="C42" t="inlineStr">
        <is>
          <t>FY2023</t>
        </is>
      </c>
      <c r="D42" s="48" t="n">
        <v>29026.44</v>
      </c>
    </row>
    <row r="43">
      <c r="A43" t="inlineStr">
        <is>
          <t>9357-7427 QI</t>
        </is>
      </c>
      <c r="B43" t="inlineStr">
        <is>
          <t>Payroll &amp; Benefits</t>
        </is>
      </c>
      <c r="C43" t="inlineStr">
        <is>
          <t>FY2023</t>
        </is>
      </c>
      <c r="D43" s="48" t="n">
        <v>90</v>
      </c>
    </row>
    <row r="44">
      <c r="A44" t="inlineStr">
        <is>
          <t>9357-7427 QI</t>
        </is>
      </c>
      <c r="B44" t="inlineStr">
        <is>
          <t>Administrative</t>
        </is>
      </c>
      <c r="C44" t="inlineStr">
        <is>
          <t>FY2023</t>
        </is>
      </c>
      <c r="D44" s="48" t="n">
        <v>27273.26</v>
      </c>
    </row>
    <row r="45">
      <c r="A45" t="inlineStr">
        <is>
          <t>9357-7427 QI</t>
        </is>
      </c>
      <c r="B45" t="inlineStr">
        <is>
          <t>Interest &amp; Financing</t>
        </is>
      </c>
      <c r="C45" t="inlineStr">
        <is>
          <t>FY2023</t>
        </is>
      </c>
      <c r="D45" s="48" t="n">
        <v>71.40000000000001</v>
      </c>
    </row>
    <row r="46">
      <c r="A46" t="inlineStr">
        <is>
          <t>9366-1676 QI</t>
        </is>
      </c>
      <c r="B46" t="inlineStr">
        <is>
          <t>Operating Revenue</t>
        </is>
      </c>
      <c r="C46" t="inlineStr">
        <is>
          <t>FY2025</t>
        </is>
      </c>
      <c r="D46" s="48" t="n">
        <v>-190152.12</v>
      </c>
    </row>
    <row r="47">
      <c r="A47" t="inlineStr">
        <is>
          <t>9366-1676 QI</t>
        </is>
      </c>
      <c r="B47" t="inlineStr">
        <is>
          <t>Interest &amp; Financing</t>
        </is>
      </c>
      <c r="C47" t="inlineStr">
        <is>
          <t>FY2025</t>
        </is>
      </c>
      <c r="D47" s="48" t="n">
        <v>396762.02</v>
      </c>
    </row>
    <row r="48">
      <c r="A48" t="inlineStr">
        <is>
          <t>9366-1676 QI</t>
        </is>
      </c>
      <c r="B48" t="inlineStr">
        <is>
          <t>Amortization</t>
        </is>
      </c>
      <c r="C48" t="inlineStr">
        <is>
          <t>FY2025</t>
        </is>
      </c>
      <c r="D48" s="48" t="n">
        <v>204136</v>
      </c>
    </row>
    <row r="49">
      <c r="A49" t="inlineStr">
        <is>
          <t>9366-1676 QI</t>
        </is>
      </c>
      <c r="B49" t="inlineStr">
        <is>
          <t>Administrative</t>
        </is>
      </c>
      <c r="C49" t="inlineStr">
        <is>
          <t>FY2025</t>
        </is>
      </c>
      <c r="D49" s="48" t="n">
        <v>215463.66</v>
      </c>
    </row>
    <row r="50">
      <c r="A50" t="inlineStr">
        <is>
          <t>9366-1676 QI</t>
        </is>
      </c>
      <c r="B50" t="inlineStr">
        <is>
          <t>Occupancy</t>
        </is>
      </c>
      <c r="C50" t="inlineStr">
        <is>
          <t>FY2025</t>
        </is>
      </c>
      <c r="D50" s="48" t="n">
        <v>33717.57</v>
      </c>
    </row>
    <row r="51">
      <c r="A51" t="inlineStr">
        <is>
          <t>9366-1676 QI</t>
        </is>
      </c>
      <c r="B51" t="inlineStr">
        <is>
          <t>Repairs &amp; Maintenance</t>
        </is>
      </c>
      <c r="C51" t="inlineStr">
        <is>
          <t>FY2025</t>
        </is>
      </c>
      <c r="D51" s="48" t="n">
        <v>425</v>
      </c>
    </row>
    <row r="52">
      <c r="A52" t="inlineStr">
        <is>
          <t>9366-1676 QI</t>
        </is>
      </c>
      <c r="B52" t="inlineStr">
        <is>
          <t>Operating Revenue</t>
        </is>
      </c>
      <c r="C52" t="inlineStr">
        <is>
          <t>FY2024</t>
        </is>
      </c>
      <c r="D52" s="48" t="n">
        <v>-188197.75</v>
      </c>
    </row>
    <row r="53">
      <c r="A53" t="inlineStr">
        <is>
          <t>9366-1676 QI</t>
        </is>
      </c>
      <c r="B53" t="inlineStr">
        <is>
          <t>Interest &amp; Financing</t>
        </is>
      </c>
      <c r="C53" t="inlineStr">
        <is>
          <t>FY2024</t>
        </is>
      </c>
      <c r="D53" s="48" t="n">
        <v>219534.62</v>
      </c>
    </row>
    <row r="54">
      <c r="A54" t="inlineStr">
        <is>
          <t>9366-1676 QI</t>
        </is>
      </c>
      <c r="B54" t="inlineStr">
        <is>
          <t>Amortization</t>
        </is>
      </c>
      <c r="C54" t="inlineStr">
        <is>
          <t>FY2024</t>
        </is>
      </c>
      <c r="D54" s="48" t="n">
        <v>94472</v>
      </c>
    </row>
    <row r="55">
      <c r="A55" t="inlineStr">
        <is>
          <t>9366-1676 QI</t>
        </is>
      </c>
      <c r="B55" t="inlineStr">
        <is>
          <t>Administrative</t>
        </is>
      </c>
      <c r="C55" t="inlineStr">
        <is>
          <t>FY2024</t>
        </is>
      </c>
      <c r="D55" s="48" t="n">
        <v>152117.58</v>
      </c>
    </row>
    <row r="56">
      <c r="A56" t="inlineStr">
        <is>
          <t>9366-1676 QI</t>
        </is>
      </c>
      <c r="B56" t="inlineStr">
        <is>
          <t>Occupancy</t>
        </is>
      </c>
      <c r="C56" t="inlineStr">
        <is>
          <t>FY2024</t>
        </is>
      </c>
      <c r="D56" s="48" t="n">
        <v>16431.97</v>
      </c>
    </row>
    <row r="57">
      <c r="A57" t="inlineStr">
        <is>
          <t>9366-1676 QI</t>
        </is>
      </c>
      <c r="B57" t="inlineStr">
        <is>
          <t>Operating Revenue</t>
        </is>
      </c>
      <c r="C57" t="inlineStr">
        <is>
          <t>FY2023</t>
        </is>
      </c>
      <c r="D57" s="48" t="n">
        <v>-220172.35</v>
      </c>
    </row>
    <row r="58">
      <c r="A58" t="inlineStr">
        <is>
          <t>9366-1676 QI</t>
        </is>
      </c>
      <c r="B58" t="inlineStr">
        <is>
          <t>Management Fees (Interco)</t>
        </is>
      </c>
      <c r="C58" t="inlineStr">
        <is>
          <t>FY2023</t>
        </is>
      </c>
      <c r="D58" s="48" t="n">
        <v>-12000</v>
      </c>
    </row>
    <row r="59">
      <c r="A59" t="inlineStr">
        <is>
          <t>9366-1676 QI</t>
        </is>
      </c>
      <c r="B59" t="inlineStr">
        <is>
          <t>Interest &amp; Financing</t>
        </is>
      </c>
      <c r="C59" t="inlineStr">
        <is>
          <t>FY2023</t>
        </is>
      </c>
      <c r="D59" s="48" t="n">
        <v>80807.78</v>
      </c>
    </row>
    <row r="60">
      <c r="A60" t="inlineStr">
        <is>
          <t>9366-1676 QI</t>
        </is>
      </c>
      <c r="B60" t="inlineStr">
        <is>
          <t>Amortization</t>
        </is>
      </c>
      <c r="C60" t="inlineStr">
        <is>
          <t>FY2023</t>
        </is>
      </c>
      <c r="D60" s="48" t="n">
        <v>94975</v>
      </c>
    </row>
    <row r="61">
      <c r="A61" t="inlineStr">
        <is>
          <t>9366-1676 QI</t>
        </is>
      </c>
      <c r="B61" t="inlineStr">
        <is>
          <t>Administrative</t>
        </is>
      </c>
      <c r="C61" t="inlineStr">
        <is>
          <t>FY2023</t>
        </is>
      </c>
      <c r="D61" s="48" t="n">
        <v>121093.68</v>
      </c>
    </row>
    <row r="62">
      <c r="A62" t="inlineStr">
        <is>
          <t>9366-1676 QI</t>
        </is>
      </c>
      <c r="B62" t="inlineStr">
        <is>
          <t>Occupancy</t>
        </is>
      </c>
      <c r="C62" t="inlineStr">
        <is>
          <t>FY2023</t>
        </is>
      </c>
      <c r="D62" s="48" t="n">
        <v>13011.85</v>
      </c>
    </row>
    <row r="63">
      <c r="A63" t="inlineStr">
        <is>
          <t>9366-1676 QI</t>
        </is>
      </c>
      <c r="B63" t="inlineStr">
        <is>
          <t>Repairs &amp; Maintenance</t>
        </is>
      </c>
      <c r="C63" t="inlineStr">
        <is>
          <t>FY2023</t>
        </is>
      </c>
      <c r="D63" s="48" t="n">
        <v>7000</v>
      </c>
    </row>
    <row r="64">
      <c r="A64" t="inlineStr">
        <is>
          <t>9425-4547 QI</t>
        </is>
      </c>
      <c r="B64" t="inlineStr">
        <is>
          <t>Operating Revenue</t>
        </is>
      </c>
      <c r="C64" t="inlineStr">
        <is>
          <t>FY2025</t>
        </is>
      </c>
      <c r="D64" s="48" t="n">
        <v>-273186</v>
      </c>
    </row>
    <row r="65">
      <c r="A65" t="inlineStr">
        <is>
          <t>9425-4547 QI</t>
        </is>
      </c>
      <c r="B65" t="inlineStr">
        <is>
          <t>Investment &amp; Other Income</t>
        </is>
      </c>
      <c r="C65" t="inlineStr">
        <is>
          <t>FY2025</t>
        </is>
      </c>
      <c r="D65" s="48" t="n">
        <v>-84146.62</v>
      </c>
    </row>
    <row r="66">
      <c r="A66" t="inlineStr">
        <is>
          <t>9425-4547 QI</t>
        </is>
      </c>
      <c r="B66" t="inlineStr">
        <is>
          <t>Interest &amp; Financing</t>
        </is>
      </c>
      <c r="C66" t="inlineStr">
        <is>
          <t>FY2025</t>
        </is>
      </c>
      <c r="D66" s="48" t="n">
        <v>147839</v>
      </c>
    </row>
    <row r="67">
      <c r="A67" t="inlineStr">
        <is>
          <t>9425-4547 QI</t>
        </is>
      </c>
      <c r="B67" t="inlineStr">
        <is>
          <t>Amortization</t>
        </is>
      </c>
      <c r="C67" t="inlineStr">
        <is>
          <t>FY2025</t>
        </is>
      </c>
      <c r="D67" s="48" t="n">
        <v>14870</v>
      </c>
    </row>
    <row r="68">
      <c r="A68" t="inlineStr">
        <is>
          <t>9425-4547 QI</t>
        </is>
      </c>
      <c r="B68" t="inlineStr">
        <is>
          <t>Administrative</t>
        </is>
      </c>
      <c r="C68" t="inlineStr">
        <is>
          <t>FY2025</t>
        </is>
      </c>
      <c r="D68" s="48" t="n">
        <v>81647.35000000001</v>
      </c>
    </row>
    <row r="69">
      <c r="A69" t="inlineStr">
        <is>
          <t>9425-4547 QI</t>
        </is>
      </c>
      <c r="B69" t="inlineStr">
        <is>
          <t>Occupancy</t>
        </is>
      </c>
      <c r="C69" t="inlineStr">
        <is>
          <t>FY2025</t>
        </is>
      </c>
      <c r="D69" s="48" t="n">
        <v>8110.21</v>
      </c>
    </row>
    <row r="70">
      <c r="A70" t="inlineStr">
        <is>
          <t>9425-4547 QI</t>
        </is>
      </c>
      <c r="B70" t="inlineStr">
        <is>
          <t>Income Tax</t>
        </is>
      </c>
      <c r="C70" t="inlineStr">
        <is>
          <t>FY2025</t>
        </is>
      </c>
      <c r="D70" s="48" t="n">
        <v>14359</v>
      </c>
    </row>
    <row r="71">
      <c r="A71" t="inlineStr">
        <is>
          <t>9425-4547 QI</t>
        </is>
      </c>
      <c r="B71" t="inlineStr">
        <is>
          <t>Operating Revenue</t>
        </is>
      </c>
      <c r="C71" t="inlineStr">
        <is>
          <t>FY2024</t>
        </is>
      </c>
      <c r="D71" s="48" t="n">
        <v>-247975</v>
      </c>
    </row>
    <row r="72">
      <c r="A72" t="inlineStr">
        <is>
          <t>9425-4547 QI</t>
        </is>
      </c>
      <c r="B72" t="inlineStr">
        <is>
          <t>Investment &amp; Other Income</t>
        </is>
      </c>
      <c r="C72" t="inlineStr">
        <is>
          <t>FY2024</t>
        </is>
      </c>
      <c r="D72" s="48" t="n">
        <v>-62108.84</v>
      </c>
    </row>
    <row r="73">
      <c r="A73" t="inlineStr">
        <is>
          <t>9425-4547 QI</t>
        </is>
      </c>
      <c r="B73" t="inlineStr">
        <is>
          <t>Interest &amp; Financing</t>
        </is>
      </c>
      <c r="C73" t="inlineStr">
        <is>
          <t>FY2024</t>
        </is>
      </c>
      <c r="D73" s="48" t="n">
        <v>108814.51</v>
      </c>
    </row>
    <row r="74">
      <c r="A74" t="inlineStr">
        <is>
          <t>9425-4547 QI</t>
        </is>
      </c>
      <c r="B74" t="inlineStr">
        <is>
          <t>Amortization</t>
        </is>
      </c>
      <c r="C74" t="inlineStr">
        <is>
          <t>FY2024</t>
        </is>
      </c>
      <c r="D74" s="48" t="n">
        <v>15473</v>
      </c>
    </row>
    <row r="75">
      <c r="A75" t="inlineStr">
        <is>
          <t>9425-4547 QI</t>
        </is>
      </c>
      <c r="B75" t="inlineStr">
        <is>
          <t>Administrative</t>
        </is>
      </c>
      <c r="C75" t="inlineStr">
        <is>
          <t>FY2024</t>
        </is>
      </c>
      <c r="D75" s="48" t="n">
        <v>84635.60000000001</v>
      </c>
    </row>
    <row r="76">
      <c r="A76" t="inlineStr">
        <is>
          <t>9425-4547 QI</t>
        </is>
      </c>
      <c r="B76" t="inlineStr">
        <is>
          <t>Occupancy</t>
        </is>
      </c>
      <c r="C76" t="inlineStr">
        <is>
          <t>FY2024</t>
        </is>
      </c>
      <c r="D76" s="48" t="n">
        <v>6455.93</v>
      </c>
    </row>
    <row r="77">
      <c r="A77" t="inlineStr">
        <is>
          <t>9425-4547 QI</t>
        </is>
      </c>
      <c r="B77" t="inlineStr">
        <is>
          <t>Income Tax</t>
        </is>
      </c>
      <c r="C77" t="inlineStr">
        <is>
          <t>FY2024</t>
        </is>
      </c>
      <c r="D77" s="48" t="n">
        <v>13363</v>
      </c>
    </row>
    <row r="78">
      <c r="A78" t="inlineStr">
        <is>
          <t>9425-4547 QI</t>
        </is>
      </c>
      <c r="B78" t="inlineStr">
        <is>
          <t>Operating Revenue</t>
        </is>
      </c>
      <c r="C78" t="inlineStr">
        <is>
          <t>FY2023</t>
        </is>
      </c>
      <c r="D78" s="48" t="n">
        <v>-234180</v>
      </c>
    </row>
    <row r="79">
      <c r="A79" t="inlineStr">
        <is>
          <t>9425-4547 QI</t>
        </is>
      </c>
      <c r="B79" t="inlineStr">
        <is>
          <t>Management Fees (Interco)</t>
        </is>
      </c>
      <c r="C79" t="inlineStr">
        <is>
          <t>FY2023</t>
        </is>
      </c>
      <c r="D79" s="48" t="n">
        <v>12000</v>
      </c>
    </row>
    <row r="80">
      <c r="A80" t="inlineStr">
        <is>
          <t>9425-4547 QI</t>
        </is>
      </c>
      <c r="B80" t="inlineStr">
        <is>
          <t>Investment &amp; Other Income</t>
        </is>
      </c>
      <c r="C80" t="inlineStr">
        <is>
          <t>FY2023</t>
        </is>
      </c>
      <c r="D80" s="48" t="n">
        <v>5374.62</v>
      </c>
    </row>
    <row r="81">
      <c r="A81" t="inlineStr">
        <is>
          <t>9425-4547 QI</t>
        </is>
      </c>
      <c r="B81" t="inlineStr">
        <is>
          <t>Interest &amp; Financing</t>
        </is>
      </c>
      <c r="C81" t="inlineStr">
        <is>
          <t>FY2023</t>
        </is>
      </c>
      <c r="D81" s="48" t="n">
        <v>55542</v>
      </c>
    </row>
    <row r="82">
      <c r="A82" t="inlineStr">
        <is>
          <t>9425-4547 QI</t>
        </is>
      </c>
      <c r="B82" t="inlineStr">
        <is>
          <t>Amortization</t>
        </is>
      </c>
      <c r="C82" t="inlineStr">
        <is>
          <t>FY2023</t>
        </is>
      </c>
      <c r="D82" s="48" t="n">
        <v>15710</v>
      </c>
    </row>
    <row r="83">
      <c r="A83" t="inlineStr">
        <is>
          <t>9425-4547 QI</t>
        </is>
      </c>
      <c r="B83" t="inlineStr">
        <is>
          <t>Administrative</t>
        </is>
      </c>
      <c r="C83" t="inlineStr">
        <is>
          <t>FY2023</t>
        </is>
      </c>
      <c r="D83" s="48" t="n">
        <v>88267.41</v>
      </c>
    </row>
    <row r="84">
      <c r="A84" t="inlineStr">
        <is>
          <t>9425-4547 QI</t>
        </is>
      </c>
      <c r="B84" t="inlineStr">
        <is>
          <t>Occupancy</t>
        </is>
      </c>
      <c r="C84" t="inlineStr">
        <is>
          <t>FY2023</t>
        </is>
      </c>
      <c r="D84" s="48" t="n">
        <v>5719.82</v>
      </c>
    </row>
    <row r="85">
      <c r="A85" t="inlineStr">
        <is>
          <t>9425-4547 QI</t>
        </is>
      </c>
      <c r="B85" t="inlineStr">
        <is>
          <t>Income Tax</t>
        </is>
      </c>
      <c r="C85" t="inlineStr">
        <is>
          <t>FY2023</t>
        </is>
      </c>
      <c r="D85" s="48" t="n">
        <v>13857</v>
      </c>
    </row>
    <row r="86">
      <c r="A86" t="inlineStr">
        <is>
          <t>9455-4169 QI</t>
        </is>
      </c>
      <c r="B86" t="inlineStr">
        <is>
          <t>Administrative</t>
        </is>
      </c>
      <c r="C86" t="inlineStr">
        <is>
          <t>FY2025</t>
        </is>
      </c>
      <c r="D86" s="48" t="n">
        <v>2994</v>
      </c>
    </row>
    <row r="87">
      <c r="A87" t="inlineStr">
        <is>
          <t>9455-4169 QI</t>
        </is>
      </c>
      <c r="B87" t="inlineStr">
        <is>
          <t>Interest &amp; Financing</t>
        </is>
      </c>
      <c r="C87" t="inlineStr">
        <is>
          <t>FY2025</t>
        </is>
      </c>
      <c r="D87" s="48" t="n">
        <v>71.34999999999999</v>
      </c>
    </row>
    <row r="88">
      <c r="A88" t="inlineStr">
        <is>
          <t>9455-4169 QI</t>
        </is>
      </c>
      <c r="B88" t="inlineStr">
        <is>
          <t>Administrative</t>
        </is>
      </c>
      <c r="C88" t="inlineStr">
        <is>
          <t>FY2024</t>
        </is>
      </c>
      <c r="D88" s="48" t="n">
        <v>3085</v>
      </c>
    </row>
    <row r="89">
      <c r="A89" t="inlineStr">
        <is>
          <t>9455-4169 QI</t>
        </is>
      </c>
      <c r="B89" t="inlineStr">
        <is>
          <t>Interest &amp; Financing</t>
        </is>
      </c>
      <c r="C89" t="inlineStr">
        <is>
          <t>FY2024</t>
        </is>
      </c>
      <c r="D89" s="48" t="n">
        <v>163.14</v>
      </c>
    </row>
    <row r="90">
      <c r="A90" t="inlineStr">
        <is>
          <t>9455-4169 QI</t>
        </is>
      </c>
      <c r="B90" t="inlineStr">
        <is>
          <t>Administrative</t>
        </is>
      </c>
      <c r="C90" t="inlineStr">
        <is>
          <t>FY2023</t>
        </is>
      </c>
      <c r="D90" s="48" t="n">
        <v>4995</v>
      </c>
    </row>
    <row r="91">
      <c r="A91" t="inlineStr">
        <is>
          <t>9455-4169 QI</t>
        </is>
      </c>
      <c r="B91" t="inlineStr">
        <is>
          <t>Interest &amp; Financing</t>
        </is>
      </c>
      <c r="C91" t="inlineStr">
        <is>
          <t>FY2023</t>
        </is>
      </c>
      <c r="D91" s="48" t="n">
        <v>53.55</v>
      </c>
    </row>
    <row r="92">
      <c r="A92" t="inlineStr">
        <is>
          <t>9455-4177 QI</t>
        </is>
      </c>
      <c r="B92" t="inlineStr">
        <is>
          <t>Administrative</t>
        </is>
      </c>
      <c r="C92" t="inlineStr">
        <is>
          <t>FY2025</t>
        </is>
      </c>
      <c r="D92" s="48" t="n">
        <v>2944</v>
      </c>
    </row>
    <row r="93">
      <c r="A93" t="inlineStr">
        <is>
          <t>9455-4177 QI</t>
        </is>
      </c>
      <c r="B93" t="inlineStr">
        <is>
          <t>Interest &amp; Financing</t>
        </is>
      </c>
      <c r="C93" t="inlineStr">
        <is>
          <t>FY2025</t>
        </is>
      </c>
      <c r="D93" s="48" t="n">
        <v>71.31</v>
      </c>
    </row>
    <row r="94">
      <c r="A94" t="inlineStr">
        <is>
          <t>9455-4177 QI</t>
        </is>
      </c>
      <c r="B94" t="inlineStr">
        <is>
          <t>Administrative</t>
        </is>
      </c>
      <c r="C94" t="inlineStr">
        <is>
          <t>FY2024</t>
        </is>
      </c>
      <c r="D94" s="48" t="n">
        <v>2797</v>
      </c>
    </row>
    <row r="95">
      <c r="A95" t="inlineStr">
        <is>
          <t>9455-4177 QI</t>
        </is>
      </c>
      <c r="B95" t="inlineStr">
        <is>
          <t>Interest &amp; Financing</t>
        </is>
      </c>
      <c r="C95" t="inlineStr">
        <is>
          <t>FY2024</t>
        </is>
      </c>
      <c r="D95" s="48" t="n">
        <v>148.11</v>
      </c>
    </row>
    <row r="96">
      <c r="A96" t="inlineStr">
        <is>
          <t>9455-4177 QI</t>
        </is>
      </c>
      <c r="B96" t="inlineStr">
        <is>
          <t>Administrative</t>
        </is>
      </c>
      <c r="C96" t="inlineStr">
        <is>
          <t>FY2023</t>
        </is>
      </c>
      <c r="D96" s="48" t="n">
        <v>5196</v>
      </c>
    </row>
    <row r="97">
      <c r="A97" t="inlineStr">
        <is>
          <t>9455-4177 QI</t>
        </is>
      </c>
      <c r="B97" t="inlineStr">
        <is>
          <t>Interest &amp; Financing</t>
        </is>
      </c>
      <c r="C97" t="inlineStr">
        <is>
          <t>FY2023</t>
        </is>
      </c>
      <c r="D97" s="48" t="n">
        <v>53.55</v>
      </c>
    </row>
    <row r="98">
      <c r="A98" t="inlineStr">
        <is>
          <t>9455-4201 QI</t>
        </is>
      </c>
      <c r="B98" t="inlineStr">
        <is>
          <t>Investment &amp; Other Income</t>
        </is>
      </c>
      <c r="C98" t="inlineStr">
        <is>
          <t>FY2025</t>
        </is>
      </c>
      <c r="D98" s="48" t="n">
        <v>-673859.71</v>
      </c>
    </row>
    <row r="99">
      <c r="A99" t="inlineStr">
        <is>
          <t>9455-4201 QI</t>
        </is>
      </c>
      <c r="B99" t="inlineStr">
        <is>
          <t>Administrative</t>
        </is>
      </c>
      <c r="C99" t="inlineStr">
        <is>
          <t>FY2025</t>
        </is>
      </c>
      <c r="D99" s="48" t="n">
        <v>12508.63</v>
      </c>
    </row>
    <row r="100">
      <c r="A100" t="inlineStr">
        <is>
          <t>9455-4201 QI</t>
        </is>
      </c>
      <c r="B100" t="inlineStr">
        <is>
          <t>Interest &amp; Financing</t>
        </is>
      </c>
      <c r="C100" t="inlineStr">
        <is>
          <t>FY2025</t>
        </is>
      </c>
      <c r="D100" s="48" t="n">
        <v>89815.85000000001</v>
      </c>
    </row>
    <row r="101">
      <c r="A101" t="inlineStr">
        <is>
          <t>9455-4201 QI</t>
        </is>
      </c>
      <c r="B101" t="inlineStr">
        <is>
          <t>Investment &amp; Other Income</t>
        </is>
      </c>
      <c r="C101" t="inlineStr">
        <is>
          <t>FY2024</t>
        </is>
      </c>
      <c r="D101" s="48" t="n">
        <v>-1569420.99</v>
      </c>
    </row>
    <row r="102">
      <c r="A102" t="inlineStr">
        <is>
          <t>9455-4201 QI</t>
        </is>
      </c>
      <c r="B102" t="inlineStr">
        <is>
          <t>Administrative</t>
        </is>
      </c>
      <c r="C102" t="inlineStr">
        <is>
          <t>FY2024</t>
        </is>
      </c>
      <c r="D102" s="48" t="n">
        <v>2956</v>
      </c>
    </row>
    <row r="103">
      <c r="A103" t="inlineStr">
        <is>
          <t>9455-4201 QI</t>
        </is>
      </c>
      <c r="B103" t="inlineStr">
        <is>
          <t>Interest &amp; Financing</t>
        </is>
      </c>
      <c r="C103" t="inlineStr">
        <is>
          <t>FY2024</t>
        </is>
      </c>
      <c r="D103" s="48" t="n">
        <v>79366.3</v>
      </c>
    </row>
    <row r="104">
      <c r="A104" t="inlineStr">
        <is>
          <t>9455-4201 QI</t>
        </is>
      </c>
      <c r="B104" t="inlineStr">
        <is>
          <t>Administrative</t>
        </is>
      </c>
      <c r="C104" t="inlineStr">
        <is>
          <t>FY2023</t>
        </is>
      </c>
      <c r="D104" s="48" t="n">
        <v>2823</v>
      </c>
    </row>
    <row r="105">
      <c r="A105" t="inlineStr">
        <is>
          <t>9455-4201 QI</t>
        </is>
      </c>
      <c r="B105" t="inlineStr">
        <is>
          <t>Interest &amp; Financing</t>
        </is>
      </c>
      <c r="C105" t="inlineStr">
        <is>
          <t>FY2023</t>
        </is>
      </c>
      <c r="D105" s="48" t="n">
        <v>146.62</v>
      </c>
    </row>
    <row r="106">
      <c r="A106" t="inlineStr">
        <is>
          <t>9108-6876 QI</t>
        </is>
      </c>
      <c r="B106" t="inlineStr">
        <is>
          <t>Other Operating</t>
        </is>
      </c>
      <c r="C106" t="inlineStr">
        <is>
          <t>FY2025</t>
        </is>
      </c>
      <c r="D106" s="48" t="n">
        <v>220492.18</v>
      </c>
    </row>
    <row r="107">
      <c r="A107" t="inlineStr">
        <is>
          <t>9108-6876 QI</t>
        </is>
      </c>
      <c r="B107" t="inlineStr">
        <is>
          <t>Payroll &amp; Benefits</t>
        </is>
      </c>
      <c r="C107" t="inlineStr">
        <is>
          <t>FY2025</t>
        </is>
      </c>
      <c r="D107" s="48" t="n">
        <v>621319.65</v>
      </c>
    </row>
    <row r="108">
      <c r="A108" t="inlineStr">
        <is>
          <t>9108-6876 QI</t>
        </is>
      </c>
      <c r="B108" t="inlineStr">
        <is>
          <t>COGS</t>
        </is>
      </c>
      <c r="C108" t="inlineStr">
        <is>
          <t>FY2025</t>
        </is>
      </c>
      <c r="D108" s="48" t="n">
        <v>253612.21</v>
      </c>
    </row>
    <row r="109">
      <c r="A109" t="inlineStr">
        <is>
          <t>9108-6876 QI</t>
        </is>
      </c>
      <c r="B109" t="inlineStr">
        <is>
          <t>Administrative</t>
        </is>
      </c>
      <c r="C109" t="inlineStr">
        <is>
          <t>FY2025</t>
        </is>
      </c>
      <c r="D109" s="48" t="n">
        <v>168226.05</v>
      </c>
    </row>
    <row r="110">
      <c r="A110" t="inlineStr">
        <is>
          <t>9108-6876 QI</t>
        </is>
      </c>
      <c r="B110" t="inlineStr">
        <is>
          <t>Interest &amp; Financing</t>
        </is>
      </c>
      <c r="C110" t="inlineStr">
        <is>
          <t>FY2025</t>
        </is>
      </c>
      <c r="D110" s="48" t="n">
        <v>92484.47</v>
      </c>
    </row>
    <row r="111">
      <c r="A111" t="inlineStr">
        <is>
          <t>9108-6876 QI</t>
        </is>
      </c>
      <c r="B111" t="inlineStr">
        <is>
          <t>Amortization</t>
        </is>
      </c>
      <c r="C111" t="inlineStr">
        <is>
          <t>FY2025</t>
        </is>
      </c>
      <c r="D111" s="48" t="n">
        <v>196184</v>
      </c>
    </row>
    <row r="112">
      <c r="A112" t="inlineStr">
        <is>
          <t>9108-6876 QI</t>
        </is>
      </c>
      <c r="B112" t="inlineStr">
        <is>
          <t>Operating Revenue</t>
        </is>
      </c>
      <c r="C112" t="inlineStr">
        <is>
          <t>FY2025</t>
        </is>
      </c>
      <c r="D112" s="48" t="n">
        <v>-1845734.44</v>
      </c>
    </row>
    <row r="113">
      <c r="A113" t="inlineStr">
        <is>
          <t>9108-6876 QI</t>
        </is>
      </c>
      <c r="B113" t="inlineStr">
        <is>
          <t>Investment &amp; Other Income</t>
        </is>
      </c>
      <c r="C113" t="inlineStr">
        <is>
          <t>FY2025</t>
        </is>
      </c>
      <c r="D113" s="48" t="n">
        <v>-773623.08</v>
      </c>
    </row>
    <row r="114">
      <c r="A114" t="inlineStr">
        <is>
          <t>9108-6876 QI</t>
        </is>
      </c>
      <c r="B114" t="inlineStr">
        <is>
          <t>Occupancy</t>
        </is>
      </c>
      <c r="C114" t="inlineStr">
        <is>
          <t>FY2025</t>
        </is>
      </c>
      <c r="D114" s="48" t="n">
        <v>293846.95</v>
      </c>
    </row>
    <row r="115">
      <c r="A115" t="inlineStr">
        <is>
          <t>9108-6876 QI</t>
        </is>
      </c>
      <c r="B115" t="inlineStr">
        <is>
          <t>Marketing &amp; Entertainment</t>
        </is>
      </c>
      <c r="C115" t="inlineStr">
        <is>
          <t>FY2025</t>
        </is>
      </c>
      <c r="D115" s="48" t="n">
        <v>265493.63</v>
      </c>
    </row>
    <row r="116">
      <c r="A116" t="inlineStr">
        <is>
          <t>9108-6876 QI</t>
        </is>
      </c>
      <c r="B116" t="inlineStr">
        <is>
          <t>Repairs &amp; Maintenance</t>
        </is>
      </c>
      <c r="C116" t="inlineStr">
        <is>
          <t>FY2025</t>
        </is>
      </c>
      <c r="D116" s="48" t="n">
        <v>191530.24</v>
      </c>
    </row>
    <row r="117">
      <c r="A117" t="inlineStr">
        <is>
          <t>9108-6876 QI</t>
        </is>
      </c>
      <c r="B117" t="inlineStr">
        <is>
          <t>Income Tax</t>
        </is>
      </c>
      <c r="C117" t="inlineStr">
        <is>
          <t>FY2025</t>
        </is>
      </c>
      <c r="D117" s="48" t="n">
        <v>11587</v>
      </c>
    </row>
    <row r="118">
      <c r="A118" t="inlineStr">
        <is>
          <t>9108-6876 QI</t>
        </is>
      </c>
      <c r="B118" t="inlineStr">
        <is>
          <t>Other Operating</t>
        </is>
      </c>
      <c r="C118" t="inlineStr">
        <is>
          <t>FY2024</t>
        </is>
      </c>
      <c r="D118" s="48" t="n">
        <v>93057.11</v>
      </c>
    </row>
    <row r="119">
      <c r="A119" t="inlineStr">
        <is>
          <t>9108-6876 QI</t>
        </is>
      </c>
      <c r="B119" t="inlineStr">
        <is>
          <t>Payroll &amp; Benefits</t>
        </is>
      </c>
      <c r="C119" t="inlineStr">
        <is>
          <t>FY2024</t>
        </is>
      </c>
      <c r="D119" s="48" t="n">
        <v>528052.08</v>
      </c>
    </row>
    <row r="120">
      <c r="A120" t="inlineStr">
        <is>
          <t>9108-6876 QI</t>
        </is>
      </c>
      <c r="B120" t="inlineStr">
        <is>
          <t>COGS</t>
        </is>
      </c>
      <c r="C120" t="inlineStr">
        <is>
          <t>FY2024</t>
        </is>
      </c>
      <c r="D120" s="48" t="n">
        <v>116416.16</v>
      </c>
    </row>
    <row r="121">
      <c r="A121" t="inlineStr">
        <is>
          <t>9108-6876 QI</t>
        </is>
      </c>
      <c r="B121" t="inlineStr">
        <is>
          <t>Administrative</t>
        </is>
      </c>
      <c r="C121" t="inlineStr">
        <is>
          <t>FY2024</t>
        </is>
      </c>
      <c r="D121" s="48" t="n">
        <v>146015.91</v>
      </c>
    </row>
    <row r="122">
      <c r="A122" t="inlineStr">
        <is>
          <t>9108-6876 QI</t>
        </is>
      </c>
      <c r="B122" t="inlineStr">
        <is>
          <t>Interest &amp; Financing</t>
        </is>
      </c>
      <c r="C122" t="inlineStr">
        <is>
          <t>FY2024</t>
        </is>
      </c>
      <c r="D122" s="48" t="n">
        <v>95218.77</v>
      </c>
    </row>
    <row r="123">
      <c r="A123" t="inlineStr">
        <is>
          <t>9108-6876 QI</t>
        </is>
      </c>
      <c r="B123" t="inlineStr">
        <is>
          <t>Amortization</t>
        </is>
      </c>
      <c r="C123" t="inlineStr">
        <is>
          <t>FY2024</t>
        </is>
      </c>
      <c r="D123" s="48" t="n">
        <v>195095</v>
      </c>
    </row>
    <row r="124">
      <c r="A124" t="inlineStr">
        <is>
          <t>9108-6876 QI</t>
        </is>
      </c>
      <c r="B124" t="inlineStr">
        <is>
          <t>Operating Revenue</t>
        </is>
      </c>
      <c r="C124" t="inlineStr">
        <is>
          <t>FY2024</t>
        </is>
      </c>
      <c r="D124" s="48" t="n">
        <v>-1846103.64</v>
      </c>
    </row>
    <row r="125">
      <c r="A125" t="inlineStr">
        <is>
          <t>9108-6876 QI</t>
        </is>
      </c>
      <c r="B125" t="inlineStr">
        <is>
          <t>Investment &amp; Other Income</t>
        </is>
      </c>
      <c r="C125" t="inlineStr">
        <is>
          <t>FY2024</t>
        </is>
      </c>
      <c r="D125" s="48" t="n">
        <v>-277628.05</v>
      </c>
    </row>
    <row r="126">
      <c r="A126" t="inlineStr">
        <is>
          <t>9108-6876 QI</t>
        </is>
      </c>
      <c r="B126" t="inlineStr">
        <is>
          <t>Management Fees (Interco)</t>
        </is>
      </c>
      <c r="C126" t="inlineStr">
        <is>
          <t>FY2024</t>
        </is>
      </c>
      <c r="D126" s="48" t="n">
        <v>398.98</v>
      </c>
    </row>
    <row r="127">
      <c r="A127" t="inlineStr">
        <is>
          <t>9108-6876 QI</t>
        </is>
      </c>
      <c r="B127" t="inlineStr">
        <is>
          <t>Occupancy</t>
        </is>
      </c>
      <c r="C127" t="inlineStr">
        <is>
          <t>FY2024</t>
        </is>
      </c>
      <c r="D127" s="48" t="n">
        <v>262708.89</v>
      </c>
    </row>
    <row r="128">
      <c r="A128" t="inlineStr">
        <is>
          <t>9108-6876 QI</t>
        </is>
      </c>
      <c r="B128" t="inlineStr">
        <is>
          <t>Marketing &amp; Entertainment</t>
        </is>
      </c>
      <c r="C128" t="inlineStr">
        <is>
          <t>FY2024</t>
        </is>
      </c>
      <c r="D128" s="48" t="n">
        <v>263448.71</v>
      </c>
    </row>
    <row r="129">
      <c r="A129" t="inlineStr">
        <is>
          <t>9108-6876 QI</t>
        </is>
      </c>
      <c r="B129" t="inlineStr">
        <is>
          <t>Repairs &amp; Maintenance</t>
        </is>
      </c>
      <c r="C129" t="inlineStr">
        <is>
          <t>FY2024</t>
        </is>
      </c>
      <c r="D129" s="48" t="n">
        <v>259227.76</v>
      </c>
    </row>
    <row r="130">
      <c r="A130" t="inlineStr">
        <is>
          <t>9108-6876 QI</t>
        </is>
      </c>
      <c r="B130" t="inlineStr">
        <is>
          <t>Payroll &amp; Benefits</t>
        </is>
      </c>
      <c r="C130" t="inlineStr">
        <is>
          <t>FY2023</t>
        </is>
      </c>
      <c r="D130" s="48" t="n">
        <v>406354.65</v>
      </c>
    </row>
    <row r="131">
      <c r="A131" t="inlineStr">
        <is>
          <t>9108-6876 QI</t>
        </is>
      </c>
      <c r="B131" t="inlineStr">
        <is>
          <t>COGS</t>
        </is>
      </c>
      <c r="C131" t="inlineStr">
        <is>
          <t>FY2023</t>
        </is>
      </c>
      <c r="D131" s="48" t="n">
        <v>77648.91</v>
      </c>
    </row>
    <row r="132">
      <c r="A132" t="inlineStr">
        <is>
          <t>9108-6876 QI</t>
        </is>
      </c>
      <c r="B132" t="inlineStr">
        <is>
          <t>Administrative</t>
        </is>
      </c>
      <c r="C132" t="inlineStr">
        <is>
          <t>FY2023</t>
        </is>
      </c>
      <c r="D132" s="48" t="n">
        <v>102761.37</v>
      </c>
    </row>
    <row r="133">
      <c r="A133" t="inlineStr">
        <is>
          <t>9108-6876 QI</t>
        </is>
      </c>
      <c r="B133" t="inlineStr">
        <is>
          <t>Interest &amp; Financing</t>
        </is>
      </c>
      <c r="C133" t="inlineStr">
        <is>
          <t>FY2023</t>
        </is>
      </c>
      <c r="D133" s="48" t="n">
        <v>78647.42999999999</v>
      </c>
    </row>
    <row r="134">
      <c r="A134" t="inlineStr">
        <is>
          <t>9108-6876 QI</t>
        </is>
      </c>
      <c r="B134" t="inlineStr">
        <is>
          <t>Amortization</t>
        </is>
      </c>
      <c r="C134" t="inlineStr">
        <is>
          <t>FY2023</t>
        </is>
      </c>
      <c r="D134" s="48" t="n">
        <v>144978</v>
      </c>
    </row>
    <row r="135">
      <c r="A135" t="inlineStr">
        <is>
          <t>9108-6876 QI</t>
        </is>
      </c>
      <c r="B135" t="inlineStr">
        <is>
          <t>Operating Revenue</t>
        </is>
      </c>
      <c r="C135" t="inlineStr">
        <is>
          <t>FY2023</t>
        </is>
      </c>
      <c r="D135" s="48" t="n">
        <v>-1787344.57</v>
      </c>
    </row>
    <row r="136">
      <c r="A136" t="inlineStr">
        <is>
          <t>9108-6876 QI</t>
        </is>
      </c>
      <c r="B136" t="inlineStr">
        <is>
          <t>Occupancy</t>
        </is>
      </c>
      <c r="C136" t="inlineStr">
        <is>
          <t>FY2023</t>
        </is>
      </c>
      <c r="D136" s="48" t="n">
        <v>246909.77</v>
      </c>
    </row>
    <row r="137">
      <c r="A137" t="inlineStr">
        <is>
          <t>9108-6876 QI</t>
        </is>
      </c>
      <c r="B137" t="inlineStr">
        <is>
          <t>Marketing &amp; Entertainment</t>
        </is>
      </c>
      <c r="C137" t="inlineStr">
        <is>
          <t>FY2023</t>
        </is>
      </c>
      <c r="D137" s="48" t="n">
        <v>199861.29</v>
      </c>
    </row>
    <row r="138">
      <c r="A138" t="inlineStr">
        <is>
          <t>9108-6876 QI</t>
        </is>
      </c>
      <c r="B138" t="inlineStr">
        <is>
          <t>Repairs &amp; Maintenance</t>
        </is>
      </c>
      <c r="C138" t="inlineStr">
        <is>
          <t>FY2023</t>
        </is>
      </c>
      <c r="D138" s="48" t="n">
        <v>338592.34</v>
      </c>
    </row>
    <row r="139">
      <c r="A139" t="inlineStr">
        <is>
          <t>N/A_BisGur</t>
        </is>
      </c>
      <c r="B139" t="inlineStr">
        <is>
          <t>Operating Revenue</t>
        </is>
      </c>
      <c r="C139" t="inlineStr">
        <is>
          <t>FY2025</t>
        </is>
      </c>
      <c r="D139" s="48" t="n">
        <v>-95567.31</v>
      </c>
    </row>
    <row r="140">
      <c r="A140" t="inlineStr">
        <is>
          <t>N/A_BisGur</t>
        </is>
      </c>
      <c r="B140" t="inlineStr">
        <is>
          <t>Management Fees (Interco)</t>
        </is>
      </c>
      <c r="C140" t="inlineStr">
        <is>
          <t>FY2025</t>
        </is>
      </c>
      <c r="D140" s="48" t="n">
        <v>-4000</v>
      </c>
    </row>
    <row r="141">
      <c r="A141" t="inlineStr">
        <is>
          <t>N/A_BisGur</t>
        </is>
      </c>
      <c r="B141" t="inlineStr">
        <is>
          <t>Payroll &amp; Benefits</t>
        </is>
      </c>
      <c r="C141" t="inlineStr">
        <is>
          <t>FY2025</t>
        </is>
      </c>
      <c r="D141" s="48" t="n">
        <v>49571.73</v>
      </c>
    </row>
    <row r="142">
      <c r="A142" t="inlineStr">
        <is>
          <t>N/A_BisGur</t>
        </is>
      </c>
      <c r="B142" t="inlineStr">
        <is>
          <t>Administrative</t>
        </is>
      </c>
      <c r="C142" t="inlineStr">
        <is>
          <t>FY2025</t>
        </is>
      </c>
      <c r="D142" s="48" t="n">
        <v>9462.879999999999</v>
      </c>
    </row>
    <row r="143">
      <c r="A143" t="inlineStr">
        <is>
          <t>N/A_BisGur</t>
        </is>
      </c>
      <c r="B143" t="inlineStr">
        <is>
          <t>Interest &amp; Financing</t>
        </is>
      </c>
      <c r="C143" t="inlineStr">
        <is>
          <t>FY2025</t>
        </is>
      </c>
      <c r="D143" s="48" t="n">
        <v>2968.54</v>
      </c>
    </row>
    <row r="144">
      <c r="A144" t="inlineStr">
        <is>
          <t>N/A_BisGur</t>
        </is>
      </c>
      <c r="B144" t="inlineStr">
        <is>
          <t>Amortization</t>
        </is>
      </c>
      <c r="C144" t="inlineStr">
        <is>
          <t>FY2025</t>
        </is>
      </c>
      <c r="D144" s="48" t="n">
        <v>11858</v>
      </c>
    </row>
    <row r="145">
      <c r="A145" t="inlineStr">
        <is>
          <t>N/A_BisGur</t>
        </is>
      </c>
      <c r="B145" t="inlineStr">
        <is>
          <t>COGS</t>
        </is>
      </c>
      <c r="C145" t="inlineStr">
        <is>
          <t>FY2025</t>
        </is>
      </c>
      <c r="D145" s="48" t="n">
        <v>26947.11</v>
      </c>
    </row>
    <row r="146">
      <c r="A146" t="inlineStr">
        <is>
          <t>N/A_BisGur</t>
        </is>
      </c>
      <c r="B146" t="inlineStr">
        <is>
          <t>Occupancy</t>
        </is>
      </c>
      <c r="C146" t="inlineStr">
        <is>
          <t>FY2025</t>
        </is>
      </c>
      <c r="D146" s="48" t="n">
        <v>4362.05</v>
      </c>
    </row>
    <row r="147">
      <c r="A147" t="inlineStr">
        <is>
          <t>N/A_BisGur</t>
        </is>
      </c>
      <c r="B147" t="inlineStr">
        <is>
          <t>Repairs &amp; Maintenance</t>
        </is>
      </c>
      <c r="C147" t="inlineStr">
        <is>
          <t>FY2025</t>
        </is>
      </c>
      <c r="D147" s="48" t="n">
        <v>9729.889999999999</v>
      </c>
    </row>
    <row r="148">
      <c r="A148" t="inlineStr">
        <is>
          <t>N/A_BisGur</t>
        </is>
      </c>
      <c r="B148" t="inlineStr">
        <is>
          <t>Marketing &amp; Entertainment</t>
        </is>
      </c>
      <c r="C148" t="inlineStr">
        <is>
          <t>FY2025</t>
        </is>
      </c>
      <c r="D148" s="48" t="n">
        <v>14786</v>
      </c>
    </row>
    <row r="149">
      <c r="A149" t="inlineStr">
        <is>
          <t>N/A_BisGur</t>
        </is>
      </c>
      <c r="B149" t="inlineStr">
        <is>
          <t>Management Fees (Interco)</t>
        </is>
      </c>
      <c r="C149" t="inlineStr">
        <is>
          <t>FY2024</t>
        </is>
      </c>
      <c r="D149" s="48" t="n">
        <v>-25000</v>
      </c>
    </row>
    <row r="150">
      <c r="A150" t="inlineStr">
        <is>
          <t>N/A_BisGur</t>
        </is>
      </c>
      <c r="B150" t="inlineStr">
        <is>
          <t>Administrative</t>
        </is>
      </c>
      <c r="C150" t="inlineStr">
        <is>
          <t>FY2024</t>
        </is>
      </c>
      <c r="D150" s="48" t="n">
        <v>11691.11</v>
      </c>
    </row>
    <row r="151">
      <c r="A151" t="inlineStr">
        <is>
          <t>N/A_BisGur</t>
        </is>
      </c>
      <c r="B151" t="inlineStr">
        <is>
          <t>Interest &amp; Financing</t>
        </is>
      </c>
      <c r="C151" t="inlineStr">
        <is>
          <t>FY2024</t>
        </is>
      </c>
      <c r="D151" s="48" t="n">
        <v>353.66</v>
      </c>
    </row>
    <row r="152">
      <c r="A152" t="inlineStr">
        <is>
          <t>N/A_BisGur</t>
        </is>
      </c>
      <c r="B152" t="inlineStr">
        <is>
          <t>Occupancy</t>
        </is>
      </c>
      <c r="C152" t="inlineStr">
        <is>
          <t>FY2024</t>
        </is>
      </c>
      <c r="D152" s="48" t="n">
        <v>2978.98</v>
      </c>
    </row>
    <row r="153">
      <c r="A153" t="inlineStr">
        <is>
          <t>N/A_BisGur</t>
        </is>
      </c>
      <c r="B153" t="inlineStr">
        <is>
          <t>Repairs &amp; Maintenance</t>
        </is>
      </c>
      <c r="C153" t="inlineStr">
        <is>
          <t>FY2024</t>
        </is>
      </c>
      <c r="D153" s="48" t="n">
        <v>1405.28</v>
      </c>
    </row>
    <row r="154">
      <c r="A154" t="inlineStr">
        <is>
          <t>N/A_BisGur</t>
        </is>
      </c>
      <c r="B154" t="inlineStr">
        <is>
          <t>Marketing &amp; Entertainment</t>
        </is>
      </c>
      <c r="C154" t="inlineStr">
        <is>
          <t>FY2024</t>
        </is>
      </c>
      <c r="D154" s="48" t="n">
        <v>31.2</v>
      </c>
    </row>
    <row r="155">
      <c r="A155" t="inlineStr">
        <is>
          <t>N/A_BisGur</t>
        </is>
      </c>
      <c r="B155" t="inlineStr">
        <is>
          <t>Management Fees (Interco)</t>
        </is>
      </c>
      <c r="C155" t="inlineStr">
        <is>
          <t>FY2023</t>
        </is>
      </c>
      <c r="D155" s="48" t="n">
        <v>-120000</v>
      </c>
    </row>
    <row r="156">
      <c r="A156" t="inlineStr">
        <is>
          <t>N/A_BisGur</t>
        </is>
      </c>
      <c r="B156" t="inlineStr">
        <is>
          <t>Administrative</t>
        </is>
      </c>
      <c r="C156" t="inlineStr">
        <is>
          <t>FY2023</t>
        </is>
      </c>
      <c r="D156" s="48" t="n">
        <v>9970.26</v>
      </c>
    </row>
    <row r="157">
      <c r="A157" t="inlineStr">
        <is>
          <t>N/A_BisGur</t>
        </is>
      </c>
      <c r="B157" t="inlineStr">
        <is>
          <t>Interest &amp; Financing</t>
        </is>
      </c>
      <c r="C157" t="inlineStr">
        <is>
          <t>FY2023</t>
        </is>
      </c>
      <c r="D157" s="48" t="n">
        <v>80.48999999999999</v>
      </c>
    </row>
    <row r="158">
      <c r="A158" t="inlineStr">
        <is>
          <t>N/A_BisGur</t>
        </is>
      </c>
      <c r="B158" t="inlineStr">
        <is>
          <t>Occupancy</t>
        </is>
      </c>
      <c r="C158" t="inlineStr">
        <is>
          <t>FY2023</t>
        </is>
      </c>
      <c r="D158" s="48" t="n">
        <v>3536.61</v>
      </c>
    </row>
    <row r="159">
      <c r="A159" t="inlineStr">
        <is>
          <t>N/A_BisGur</t>
        </is>
      </c>
      <c r="B159" t="inlineStr">
        <is>
          <t>Repairs &amp; Maintenance</t>
        </is>
      </c>
      <c r="C159" t="inlineStr">
        <is>
          <t>FY2023</t>
        </is>
      </c>
      <c r="D159" s="48" t="n">
        <v>659.65</v>
      </c>
    </row>
    <row r="160">
      <c r="A160" t="inlineStr">
        <is>
          <t>N/A_BisGur</t>
        </is>
      </c>
      <c r="B160" t="inlineStr">
        <is>
          <t>Marketing &amp; Entertainment</t>
        </is>
      </c>
      <c r="C160" t="inlineStr">
        <is>
          <t>FY2023</t>
        </is>
      </c>
      <c r="D160" s="48" t="n">
        <v>93.59999999999999</v>
      </c>
    </row>
    <row r="161">
      <c r="A161" t="inlineStr">
        <is>
          <t>9096-0436 QI</t>
        </is>
      </c>
      <c r="B161" t="inlineStr">
        <is>
          <t>Operating Revenue</t>
        </is>
      </c>
      <c r="C161" t="inlineStr">
        <is>
          <t>FY2025</t>
        </is>
      </c>
      <c r="D161" s="48" t="n">
        <v>-182159.16</v>
      </c>
    </row>
    <row r="162">
      <c r="A162" t="inlineStr">
        <is>
          <t>9096-0436 QI</t>
        </is>
      </c>
      <c r="B162" t="inlineStr">
        <is>
          <t>Other Operating</t>
        </is>
      </c>
      <c r="C162" t="inlineStr">
        <is>
          <t>FY2025</t>
        </is>
      </c>
      <c r="D162" s="48" t="n">
        <v>27832.1</v>
      </c>
    </row>
    <row r="163">
      <c r="A163" t="inlineStr">
        <is>
          <t>9096-0436 QI</t>
        </is>
      </c>
      <c r="B163" t="inlineStr">
        <is>
          <t>Payroll &amp; Benefits</t>
        </is>
      </c>
      <c r="C163" t="inlineStr">
        <is>
          <t>FY2025</t>
        </is>
      </c>
      <c r="D163" s="48" t="n">
        <v>69042.92999999999</v>
      </c>
    </row>
    <row r="164">
      <c r="A164" t="inlineStr">
        <is>
          <t>9096-0436 QI</t>
        </is>
      </c>
      <c r="B164" t="inlineStr">
        <is>
          <t>Management Fees (Interco)</t>
        </is>
      </c>
      <c r="C164" t="inlineStr">
        <is>
          <t>FY2025</t>
        </is>
      </c>
      <c r="D164" s="48" t="n">
        <v>-63372</v>
      </c>
    </row>
    <row r="165">
      <c r="A165" t="inlineStr">
        <is>
          <t>9096-0436 QI</t>
        </is>
      </c>
      <c r="B165" t="inlineStr">
        <is>
          <t>COGS</t>
        </is>
      </c>
      <c r="C165" t="inlineStr">
        <is>
          <t>FY2025</t>
        </is>
      </c>
      <c r="D165" s="48" t="n">
        <v>21629.4</v>
      </c>
    </row>
    <row r="166">
      <c r="A166" t="inlineStr">
        <is>
          <t>9096-0436 QI</t>
        </is>
      </c>
      <c r="B166" t="inlineStr">
        <is>
          <t>Repairs &amp; Maintenance</t>
        </is>
      </c>
      <c r="C166" t="inlineStr">
        <is>
          <t>FY2025</t>
        </is>
      </c>
      <c r="D166" s="48" t="n">
        <v>3911.77</v>
      </c>
    </row>
    <row r="167">
      <c r="A167" t="inlineStr">
        <is>
          <t>9096-0436 QI</t>
        </is>
      </c>
      <c r="B167" t="inlineStr">
        <is>
          <t>Occupancy</t>
        </is>
      </c>
      <c r="C167" t="inlineStr">
        <is>
          <t>FY2025</t>
        </is>
      </c>
      <c r="D167" s="48" t="n">
        <v>84249.49000000001</v>
      </c>
    </row>
    <row r="168">
      <c r="A168" t="inlineStr">
        <is>
          <t>9096-0436 QI</t>
        </is>
      </c>
      <c r="B168" t="inlineStr">
        <is>
          <t>Administrative</t>
        </is>
      </c>
      <c r="C168" t="inlineStr">
        <is>
          <t>FY2025</t>
        </is>
      </c>
      <c r="D168" s="48" t="n">
        <v>31662.59</v>
      </c>
    </row>
    <row r="169">
      <c r="A169" t="inlineStr">
        <is>
          <t>9096-0436 QI</t>
        </is>
      </c>
      <c r="B169" t="inlineStr">
        <is>
          <t>Marketing &amp; Entertainment</t>
        </is>
      </c>
      <c r="C169" t="inlineStr">
        <is>
          <t>FY2025</t>
        </is>
      </c>
      <c r="D169" s="48" t="n">
        <v>3035.5</v>
      </c>
    </row>
    <row r="170">
      <c r="A170" t="inlineStr">
        <is>
          <t>9096-0436 QI</t>
        </is>
      </c>
      <c r="B170" t="inlineStr">
        <is>
          <t>Amortization</t>
        </is>
      </c>
      <c r="C170" t="inlineStr">
        <is>
          <t>FY2025</t>
        </is>
      </c>
      <c r="D170" s="48" t="n">
        <v>16179</v>
      </c>
    </row>
    <row r="171">
      <c r="A171" t="inlineStr">
        <is>
          <t>9096-0436 QI</t>
        </is>
      </c>
      <c r="B171" t="inlineStr">
        <is>
          <t>Interest &amp; Financing</t>
        </is>
      </c>
      <c r="C171" t="inlineStr">
        <is>
          <t>FY2025</t>
        </is>
      </c>
      <c r="D171" s="48" t="n">
        <v>7029.13</v>
      </c>
    </row>
    <row r="172">
      <c r="A172" t="inlineStr">
        <is>
          <t>9096-0436 QI</t>
        </is>
      </c>
      <c r="B172" t="inlineStr">
        <is>
          <t>Operating Revenue</t>
        </is>
      </c>
      <c r="C172" t="inlineStr">
        <is>
          <t>FY2024</t>
        </is>
      </c>
      <c r="D172" s="48" t="n">
        <v>-252814.41</v>
      </c>
    </row>
    <row r="173">
      <c r="A173" t="inlineStr">
        <is>
          <t>9096-0436 QI</t>
        </is>
      </c>
      <c r="B173" t="inlineStr">
        <is>
          <t>Other Operating</t>
        </is>
      </c>
      <c r="C173" t="inlineStr">
        <is>
          <t>FY2024</t>
        </is>
      </c>
      <c r="D173" s="48" t="n">
        <v>25803.7</v>
      </c>
    </row>
    <row r="174">
      <c r="A174" t="inlineStr">
        <is>
          <t>9096-0436 QI</t>
        </is>
      </c>
      <c r="B174" t="inlineStr">
        <is>
          <t>Payroll &amp; Benefits</t>
        </is>
      </c>
      <c r="C174" t="inlineStr">
        <is>
          <t>FY2024</t>
        </is>
      </c>
      <c r="D174" s="48" t="n">
        <v>94213.14999999999</v>
      </c>
    </row>
    <row r="175">
      <c r="A175" t="inlineStr">
        <is>
          <t>9096-0436 QI</t>
        </is>
      </c>
      <c r="B175" t="inlineStr">
        <is>
          <t>Management Fees (Interco)</t>
        </is>
      </c>
      <c r="C175" t="inlineStr">
        <is>
          <t>FY2024</t>
        </is>
      </c>
      <c r="D175" s="48" t="n">
        <v>-105000</v>
      </c>
    </row>
    <row r="176">
      <c r="A176" t="inlineStr">
        <is>
          <t>9096-0436 QI</t>
        </is>
      </c>
      <c r="B176" t="inlineStr">
        <is>
          <t>COGS</t>
        </is>
      </c>
      <c r="C176" t="inlineStr">
        <is>
          <t>FY2024</t>
        </is>
      </c>
      <c r="D176" s="48" t="n">
        <v>42360.83</v>
      </c>
    </row>
    <row r="177">
      <c r="A177" t="inlineStr">
        <is>
          <t>9096-0436 QI</t>
        </is>
      </c>
      <c r="B177" t="inlineStr">
        <is>
          <t>Repairs &amp; Maintenance</t>
        </is>
      </c>
      <c r="C177" t="inlineStr">
        <is>
          <t>FY2024</t>
        </is>
      </c>
      <c r="D177" s="48" t="n">
        <v>15237.12</v>
      </c>
    </row>
    <row r="178">
      <c r="A178" t="inlineStr">
        <is>
          <t>9096-0436 QI</t>
        </is>
      </c>
      <c r="B178" t="inlineStr">
        <is>
          <t>Occupancy</t>
        </is>
      </c>
      <c r="C178" t="inlineStr">
        <is>
          <t>FY2024</t>
        </is>
      </c>
      <c r="D178" s="48" t="n">
        <v>84280.23</v>
      </c>
    </row>
    <row r="179">
      <c r="A179" t="inlineStr">
        <is>
          <t>9096-0436 QI</t>
        </is>
      </c>
      <c r="B179" t="inlineStr">
        <is>
          <t>Administrative</t>
        </is>
      </c>
      <c r="C179" t="inlineStr">
        <is>
          <t>FY2024</t>
        </is>
      </c>
      <c r="D179" s="48" t="n">
        <v>39485.9</v>
      </c>
    </row>
    <row r="180">
      <c r="A180" t="inlineStr">
        <is>
          <t>9096-0436 QI</t>
        </is>
      </c>
      <c r="B180" t="inlineStr">
        <is>
          <t>Marketing &amp; Entertainment</t>
        </is>
      </c>
      <c r="C180" t="inlineStr">
        <is>
          <t>FY2024</t>
        </is>
      </c>
      <c r="D180" s="48" t="n">
        <v>30521.91</v>
      </c>
    </row>
    <row r="181">
      <c r="A181" t="inlineStr">
        <is>
          <t>9096-0436 QI</t>
        </is>
      </c>
      <c r="B181" t="inlineStr">
        <is>
          <t>Amortization</t>
        </is>
      </c>
      <c r="C181" t="inlineStr">
        <is>
          <t>FY2024</t>
        </is>
      </c>
      <c r="D181" s="48" t="n">
        <v>7464</v>
      </c>
    </row>
    <row r="182">
      <c r="A182" t="inlineStr">
        <is>
          <t>9096-0436 QI</t>
        </is>
      </c>
      <c r="B182" t="inlineStr">
        <is>
          <t>Interest &amp; Financing</t>
        </is>
      </c>
      <c r="C182" t="inlineStr">
        <is>
          <t>FY2024</t>
        </is>
      </c>
      <c r="D182" s="48" t="n">
        <v>7661.21</v>
      </c>
    </row>
    <row r="183">
      <c r="A183" t="inlineStr">
        <is>
          <t>9096-0436 QI</t>
        </is>
      </c>
      <c r="B183" t="inlineStr">
        <is>
          <t>Income Tax</t>
        </is>
      </c>
      <c r="C183" t="inlineStr">
        <is>
          <t>FY2024</t>
        </is>
      </c>
      <c r="D183" s="48" t="n">
        <v>1145</v>
      </c>
    </row>
    <row r="184">
      <c r="A184" t="inlineStr">
        <is>
          <t>9096-0436 QI</t>
        </is>
      </c>
      <c r="B184" t="inlineStr">
        <is>
          <t>Operating Revenue</t>
        </is>
      </c>
      <c r="C184" t="inlineStr">
        <is>
          <t>FY2023</t>
        </is>
      </c>
      <c r="D184" s="48" t="n">
        <v>-1040169.25</v>
      </c>
    </row>
    <row r="185">
      <c r="A185" t="inlineStr">
        <is>
          <t>9096-0436 QI</t>
        </is>
      </c>
      <c r="B185" t="inlineStr">
        <is>
          <t>Other Operating</t>
        </is>
      </c>
      <c r="C185" t="inlineStr">
        <is>
          <t>FY2023</t>
        </is>
      </c>
      <c r="D185" s="48" t="n">
        <v>24267.6</v>
      </c>
    </row>
    <row r="186">
      <c r="A186" t="inlineStr">
        <is>
          <t>9096-0436 QI</t>
        </is>
      </c>
      <c r="B186" t="inlineStr">
        <is>
          <t>Payroll &amp; Benefits</t>
        </is>
      </c>
      <c r="C186" t="inlineStr">
        <is>
          <t>FY2023</t>
        </is>
      </c>
      <c r="D186" s="48" t="n">
        <v>335260.06</v>
      </c>
    </row>
    <row r="187">
      <c r="A187" t="inlineStr">
        <is>
          <t>9096-0436 QI</t>
        </is>
      </c>
      <c r="B187" t="inlineStr">
        <is>
          <t>Management Fees (Interco)</t>
        </is>
      </c>
      <c r="C187" t="inlineStr">
        <is>
          <t>FY2023</t>
        </is>
      </c>
      <c r="D187" s="48" t="n">
        <v>12000</v>
      </c>
    </row>
    <row r="188">
      <c r="A188" t="inlineStr">
        <is>
          <t>9096-0436 QI</t>
        </is>
      </c>
      <c r="B188" t="inlineStr">
        <is>
          <t>COGS</t>
        </is>
      </c>
      <c r="C188" t="inlineStr">
        <is>
          <t>FY2023</t>
        </is>
      </c>
      <c r="D188" s="48" t="n">
        <v>306127.7</v>
      </c>
    </row>
    <row r="189">
      <c r="A189" t="inlineStr">
        <is>
          <t>9096-0436 QI</t>
        </is>
      </c>
      <c r="B189" t="inlineStr">
        <is>
          <t>Repairs &amp; Maintenance</t>
        </is>
      </c>
      <c r="C189" t="inlineStr">
        <is>
          <t>FY2023</t>
        </is>
      </c>
      <c r="D189" s="48" t="n">
        <v>28545.56</v>
      </c>
    </row>
    <row r="190">
      <c r="A190" t="inlineStr">
        <is>
          <t>9096-0436 QI</t>
        </is>
      </c>
      <c r="B190" t="inlineStr">
        <is>
          <t>Occupancy</t>
        </is>
      </c>
      <c r="C190" t="inlineStr">
        <is>
          <t>FY2023</t>
        </is>
      </c>
      <c r="D190" s="48" t="n">
        <v>84158.63</v>
      </c>
    </row>
    <row r="191">
      <c r="A191" t="inlineStr">
        <is>
          <t>9096-0436 QI</t>
        </is>
      </c>
      <c r="B191" t="inlineStr">
        <is>
          <t>Administrative</t>
        </is>
      </c>
      <c r="C191" t="inlineStr">
        <is>
          <t>FY2023</t>
        </is>
      </c>
      <c r="D191" s="48" t="n">
        <v>40897.33</v>
      </c>
    </row>
    <row r="192">
      <c r="A192" t="inlineStr">
        <is>
          <t>9096-0436 QI</t>
        </is>
      </c>
      <c r="B192" t="inlineStr">
        <is>
          <t>Marketing &amp; Entertainment</t>
        </is>
      </c>
      <c r="C192" t="inlineStr">
        <is>
          <t>FY2023</t>
        </is>
      </c>
      <c r="D192" s="48" t="n">
        <v>155731.54</v>
      </c>
    </row>
    <row r="193">
      <c r="A193" t="inlineStr">
        <is>
          <t>9096-0436 QI</t>
        </is>
      </c>
      <c r="B193" t="inlineStr">
        <is>
          <t>Amortization</t>
        </is>
      </c>
      <c r="C193" t="inlineStr">
        <is>
          <t>FY2023</t>
        </is>
      </c>
      <c r="D193" s="48" t="n">
        <v>6720</v>
      </c>
    </row>
    <row r="194">
      <c r="A194" t="inlineStr">
        <is>
          <t>9096-0436 QI</t>
        </is>
      </c>
      <c r="B194" t="inlineStr">
        <is>
          <t>Interest &amp; Financing</t>
        </is>
      </c>
      <c r="C194" t="inlineStr">
        <is>
          <t>FY2023</t>
        </is>
      </c>
      <c r="D194" s="48" t="n">
        <v>11168.8</v>
      </c>
    </row>
    <row r="195">
      <c r="A195" t="inlineStr">
        <is>
          <t>9096-0436 QI</t>
        </is>
      </c>
      <c r="B195" t="inlineStr">
        <is>
          <t>Income Tax</t>
        </is>
      </c>
      <c r="C195" t="inlineStr">
        <is>
          <t>FY2023</t>
        </is>
      </c>
      <c r="D195" s="48" t="n">
        <v>4347</v>
      </c>
    </row>
    <row r="196">
      <c r="A196" t="inlineStr">
        <is>
          <t>9504-7510 QI</t>
        </is>
      </c>
      <c r="B196" t="inlineStr">
        <is>
          <t>Management Fees (Interco)</t>
        </is>
      </c>
      <c r="C196" t="inlineStr">
        <is>
          <t>FY2025</t>
        </is>
      </c>
      <c r="D196" s="48" t="n">
        <v>-36500</v>
      </c>
    </row>
    <row r="197">
      <c r="A197" t="inlineStr">
        <is>
          <t>9504-7510 QI</t>
        </is>
      </c>
      <c r="B197" t="inlineStr">
        <is>
          <t>Payroll &amp; Benefits</t>
        </is>
      </c>
      <c r="C197" t="inlineStr">
        <is>
          <t>FY2025</t>
        </is>
      </c>
      <c r="D197" s="48" t="n">
        <v>682935.3</v>
      </c>
    </row>
    <row r="198">
      <c r="A198" t="inlineStr">
        <is>
          <t>9504-7510 QI</t>
        </is>
      </c>
      <c r="B198" t="inlineStr">
        <is>
          <t>Amortization</t>
        </is>
      </c>
      <c r="C198" t="inlineStr">
        <is>
          <t>FY2025</t>
        </is>
      </c>
      <c r="D198" s="48" t="n">
        <v>89528.25</v>
      </c>
    </row>
    <row r="199">
      <c r="A199" t="inlineStr">
        <is>
          <t>9504-7510 QI</t>
        </is>
      </c>
      <c r="B199" t="inlineStr">
        <is>
          <t>Interest &amp; Financing</t>
        </is>
      </c>
      <c r="C199" t="inlineStr">
        <is>
          <t>FY2025</t>
        </is>
      </c>
      <c r="D199" s="48" t="n">
        <v>34311.46</v>
      </c>
    </row>
    <row r="200">
      <c r="A200" t="inlineStr">
        <is>
          <t>9504-7510 QI</t>
        </is>
      </c>
      <c r="B200" t="inlineStr">
        <is>
          <t>Operating Revenue</t>
        </is>
      </c>
      <c r="C200" t="inlineStr">
        <is>
          <t>FY2025</t>
        </is>
      </c>
      <c r="D200" s="48" t="n">
        <v>-1276087.3</v>
      </c>
    </row>
    <row r="201">
      <c r="A201" t="inlineStr">
        <is>
          <t>9504-7510 QI</t>
        </is>
      </c>
      <c r="B201" t="inlineStr">
        <is>
          <t>Administrative</t>
        </is>
      </c>
      <c r="C201" t="inlineStr">
        <is>
          <t>FY2025</t>
        </is>
      </c>
      <c r="D201" s="48" t="n">
        <v>119684.05</v>
      </c>
    </row>
    <row r="202">
      <c r="A202" t="inlineStr">
        <is>
          <t>9504-7510 QI</t>
        </is>
      </c>
      <c r="B202" t="inlineStr">
        <is>
          <t>COGS</t>
        </is>
      </c>
      <c r="C202" t="inlineStr">
        <is>
          <t>FY2025</t>
        </is>
      </c>
      <c r="D202" s="48" t="n">
        <v>461523.69</v>
      </c>
    </row>
    <row r="203">
      <c r="A203" t="inlineStr">
        <is>
          <t>9504-7510 QI</t>
        </is>
      </c>
      <c r="B203" t="inlineStr">
        <is>
          <t>Occupancy</t>
        </is>
      </c>
      <c r="C203" t="inlineStr">
        <is>
          <t>FY2025</t>
        </is>
      </c>
      <c r="D203" s="48" t="n">
        <v>70350.57000000001</v>
      </c>
    </row>
    <row r="204">
      <c r="A204" t="inlineStr">
        <is>
          <t>9504-7510 QI</t>
        </is>
      </c>
      <c r="B204" t="inlineStr">
        <is>
          <t>Repairs &amp; Maintenance</t>
        </is>
      </c>
      <c r="C204" t="inlineStr">
        <is>
          <t>FY2025</t>
        </is>
      </c>
      <c r="D204" s="48" t="n">
        <v>85236.12</v>
      </c>
    </row>
    <row r="205">
      <c r="A205" t="inlineStr">
        <is>
          <t>9504-7510 QI</t>
        </is>
      </c>
      <c r="B205" t="inlineStr">
        <is>
          <t>Other Operating</t>
        </is>
      </c>
      <c r="C205" t="inlineStr">
        <is>
          <t>FY2025</t>
        </is>
      </c>
      <c r="D205" s="48" t="n">
        <v>25179.13</v>
      </c>
    </row>
    <row r="206">
      <c r="A206" t="inlineStr">
        <is>
          <t>9504-7510 QI</t>
        </is>
      </c>
      <c r="B206" t="inlineStr">
        <is>
          <t>Marketing &amp; Entertainment</t>
        </is>
      </c>
      <c r="C206" t="inlineStr">
        <is>
          <t>FY2025</t>
        </is>
      </c>
      <c r="D206" s="48" t="n">
        <v>74422.25999999999</v>
      </c>
    </row>
    <row r="207">
      <c r="A207" t="inlineStr">
        <is>
          <t>9504-7510 QI</t>
        </is>
      </c>
      <c r="B207" t="inlineStr">
        <is>
          <t>Interest &amp; Financing</t>
        </is>
      </c>
      <c r="C207" t="inlineStr">
        <is>
          <t>FY2024</t>
        </is>
      </c>
      <c r="D207" s="48" t="n">
        <v>47.32</v>
      </c>
    </row>
    <row r="208">
      <c r="A208" t="inlineStr">
        <is>
          <t>9504-7510 QI</t>
        </is>
      </c>
      <c r="B208" t="inlineStr">
        <is>
          <t>Administrative</t>
        </is>
      </c>
      <c r="C208" t="inlineStr">
        <is>
          <t>FY2024</t>
        </is>
      </c>
      <c r="D208" s="48" t="n">
        <v>6971.72</v>
      </c>
    </row>
    <row r="209">
      <c r="A209" t="inlineStr">
        <is>
          <t>9504-7510 QI</t>
        </is>
      </c>
      <c r="B209" t="inlineStr">
        <is>
          <t>Occupancy</t>
        </is>
      </c>
      <c r="C209" t="inlineStr">
        <is>
          <t>FY2024</t>
        </is>
      </c>
      <c r="D209" s="48" t="n">
        <v>1030.5</v>
      </c>
    </row>
    <row r="210">
      <c r="A210" t="inlineStr">
        <is>
          <t>9525-2854 QI</t>
        </is>
      </c>
      <c r="B210" t="inlineStr">
        <is>
          <t>Operating Revenue</t>
        </is>
      </c>
      <c r="C210" t="inlineStr">
        <is>
          <t>FY2025</t>
        </is>
      </c>
      <c r="D210" s="48" t="n">
        <v>-60617.22</v>
      </c>
    </row>
    <row r="211">
      <c r="A211" t="inlineStr">
        <is>
          <t>9525-2854 QI</t>
        </is>
      </c>
      <c r="B211" t="inlineStr">
        <is>
          <t>Administrative</t>
        </is>
      </c>
      <c r="C211" t="inlineStr">
        <is>
          <t>FY2025</t>
        </is>
      </c>
      <c r="D211" s="48" t="n">
        <v>7827.94</v>
      </c>
    </row>
    <row r="212">
      <c r="A212" t="inlineStr">
        <is>
          <t>9525-2854 QI</t>
        </is>
      </c>
      <c r="B212" t="inlineStr">
        <is>
          <t>COGS</t>
        </is>
      </c>
      <c r="C212" t="inlineStr">
        <is>
          <t>FY2025</t>
        </is>
      </c>
      <c r="D212" s="48" t="n">
        <v>28798.6</v>
      </c>
    </row>
    <row r="213">
      <c r="A213" t="inlineStr">
        <is>
          <t>9525-2854 QI</t>
        </is>
      </c>
      <c r="B213" t="inlineStr">
        <is>
          <t>Interest &amp; Financing</t>
        </is>
      </c>
      <c r="C213" t="inlineStr">
        <is>
          <t>FY2025</t>
        </is>
      </c>
      <c r="D213" s="48" t="n">
        <v>160</v>
      </c>
    </row>
    <row r="214">
      <c r="A214" t="inlineStr">
        <is>
          <t>9525-2854 QI</t>
        </is>
      </c>
      <c r="B214" t="inlineStr">
        <is>
          <t>Payroll &amp; Benefits</t>
        </is>
      </c>
      <c r="C214" t="inlineStr">
        <is>
          <t>FY2025</t>
        </is>
      </c>
      <c r="D214" s="48" t="n">
        <v>17017.8</v>
      </c>
    </row>
    <row r="215">
      <c r="A215" t="inlineStr">
        <is>
          <t>9525-2854 QI</t>
        </is>
      </c>
      <c r="B215" t="inlineStr">
        <is>
          <t>Occupancy</t>
        </is>
      </c>
      <c r="C215" t="inlineStr">
        <is>
          <t>FY2025</t>
        </is>
      </c>
      <c r="D215" s="48" t="n">
        <v>8.15</v>
      </c>
    </row>
    <row r="216">
      <c r="A216" t="inlineStr">
        <is>
          <t>9525-2854 QI</t>
        </is>
      </c>
      <c r="B216" t="inlineStr">
        <is>
          <t>Repairs &amp; Maintenance</t>
        </is>
      </c>
      <c r="C216" t="inlineStr">
        <is>
          <t>FY2025</t>
        </is>
      </c>
      <c r="D216" s="48" t="n">
        <v>5393.52</v>
      </c>
    </row>
    <row r="217">
      <c r="A217" t="inlineStr">
        <is>
          <t>9525-2854 QI</t>
        </is>
      </c>
      <c r="B217" t="inlineStr">
        <is>
          <t>Other Operating</t>
        </is>
      </c>
      <c r="C217" t="inlineStr">
        <is>
          <t>FY2025</t>
        </is>
      </c>
      <c r="D217" s="48" t="n">
        <v>1690.87</v>
      </c>
    </row>
    <row r="218">
      <c r="A218" t="inlineStr">
        <is>
          <t>9525-2854 QI</t>
        </is>
      </c>
      <c r="B218" t="inlineStr">
        <is>
          <t>Marketing &amp; Entertainment</t>
        </is>
      </c>
      <c r="C218" t="inlineStr">
        <is>
          <t>FY2025</t>
        </is>
      </c>
      <c r="D218" s="48" t="n">
        <v>3819</v>
      </c>
    </row>
    <row r="219">
      <c r="A219" t="inlineStr">
        <is>
          <t>9525-2854 QI</t>
        </is>
      </c>
      <c r="B219" t="inlineStr">
        <is>
          <t>Amortization</t>
        </is>
      </c>
      <c r="C219" t="inlineStr">
        <is>
          <t>FY2025</t>
        </is>
      </c>
      <c r="D219" s="48" t="n">
        <v>1623</v>
      </c>
    </row>
    <row r="220">
      <c r="A220" t="inlineStr">
        <is>
          <t>9366-1049 QI</t>
        </is>
      </c>
      <c r="B220" t="inlineStr">
        <is>
          <t>Operating Revenue</t>
        </is>
      </c>
      <c r="C220" t="inlineStr">
        <is>
          <t>FY2025</t>
        </is>
      </c>
      <c r="D220" s="48" t="n">
        <v>-4020097.09</v>
      </c>
    </row>
    <row r="221">
      <c r="A221" t="inlineStr">
        <is>
          <t>9366-1049 QI</t>
        </is>
      </c>
      <c r="B221" t="inlineStr">
        <is>
          <t>Other Operating</t>
        </is>
      </c>
      <c r="C221" t="inlineStr">
        <is>
          <t>FY2025</t>
        </is>
      </c>
      <c r="D221" s="48" t="n">
        <v>36589.58</v>
      </c>
    </row>
    <row r="222">
      <c r="A222" t="inlineStr">
        <is>
          <t>9366-1049 QI</t>
        </is>
      </c>
      <c r="B222" t="inlineStr">
        <is>
          <t>Investment &amp; Other Income</t>
        </is>
      </c>
      <c r="C222" t="inlineStr">
        <is>
          <t>FY2025</t>
        </is>
      </c>
      <c r="D222" s="48" t="n">
        <v>-21238.18</v>
      </c>
    </row>
    <row r="223">
      <c r="A223" t="inlineStr">
        <is>
          <t>9366-1049 QI</t>
        </is>
      </c>
      <c r="B223" t="inlineStr">
        <is>
          <t>COGS</t>
        </is>
      </c>
      <c r="C223" t="inlineStr">
        <is>
          <t>FY2025</t>
        </is>
      </c>
      <c r="D223" s="48" t="n">
        <v>1134014.92</v>
      </c>
    </row>
    <row r="224">
      <c r="A224" t="inlineStr">
        <is>
          <t>9366-1049 QI</t>
        </is>
      </c>
      <c r="B224" t="inlineStr">
        <is>
          <t>Administrative</t>
        </is>
      </c>
      <c r="C224" t="inlineStr">
        <is>
          <t>FY2025</t>
        </is>
      </c>
      <c r="D224" s="48" t="n">
        <v>128437.63</v>
      </c>
    </row>
    <row r="225">
      <c r="A225" t="inlineStr">
        <is>
          <t>9366-1049 QI</t>
        </is>
      </c>
      <c r="B225" t="inlineStr">
        <is>
          <t>Payroll &amp; Benefits</t>
        </is>
      </c>
      <c r="C225" t="inlineStr">
        <is>
          <t>FY2025</t>
        </is>
      </c>
      <c r="D225" s="48" t="n">
        <v>1648002.47</v>
      </c>
    </row>
    <row r="226">
      <c r="A226" t="inlineStr">
        <is>
          <t>9366-1049 QI</t>
        </is>
      </c>
      <c r="B226" t="inlineStr">
        <is>
          <t>Occupancy</t>
        </is>
      </c>
      <c r="C226" t="inlineStr">
        <is>
          <t>FY2025</t>
        </is>
      </c>
      <c r="D226" s="48" t="n">
        <v>285429.57</v>
      </c>
    </row>
    <row r="227">
      <c r="A227" t="inlineStr">
        <is>
          <t>9366-1049 QI</t>
        </is>
      </c>
      <c r="B227" t="inlineStr">
        <is>
          <t>Repairs &amp; Maintenance</t>
        </is>
      </c>
      <c r="C227" t="inlineStr">
        <is>
          <t>FY2025</t>
        </is>
      </c>
      <c r="D227" s="48" t="n">
        <v>112954.41</v>
      </c>
    </row>
    <row r="228">
      <c r="A228" t="inlineStr">
        <is>
          <t>9366-1049 QI</t>
        </is>
      </c>
      <c r="B228" t="inlineStr">
        <is>
          <t>Marketing &amp; Entertainment</t>
        </is>
      </c>
      <c r="C228" t="inlineStr">
        <is>
          <t>FY2025</t>
        </is>
      </c>
      <c r="D228" s="48" t="n">
        <v>152125.33</v>
      </c>
    </row>
    <row r="229">
      <c r="A229" t="inlineStr">
        <is>
          <t>9366-1049 QI</t>
        </is>
      </c>
      <c r="B229" t="inlineStr">
        <is>
          <t>Interest &amp; Financing</t>
        </is>
      </c>
      <c r="C229" t="inlineStr">
        <is>
          <t>FY2025</t>
        </is>
      </c>
      <c r="D229" s="48" t="n">
        <v>119756.18</v>
      </c>
    </row>
    <row r="230">
      <c r="A230" t="inlineStr">
        <is>
          <t>9366-1049 QI</t>
        </is>
      </c>
      <c r="B230" t="inlineStr">
        <is>
          <t>Amortization</t>
        </is>
      </c>
      <c r="C230" t="inlineStr">
        <is>
          <t>FY2025</t>
        </is>
      </c>
      <c r="D230" s="48" t="n">
        <v>115151</v>
      </c>
    </row>
    <row r="231">
      <c r="A231" t="inlineStr">
        <is>
          <t>9366-1049 QI</t>
        </is>
      </c>
      <c r="B231" t="inlineStr">
        <is>
          <t>Income Tax</t>
        </is>
      </c>
      <c r="C231" t="inlineStr">
        <is>
          <t>FY2025</t>
        </is>
      </c>
      <c r="D231" s="48" t="n">
        <v>55522</v>
      </c>
    </row>
    <row r="232">
      <c r="A232" t="inlineStr">
        <is>
          <t>9366-1049 QI</t>
        </is>
      </c>
      <c r="B232" t="inlineStr">
        <is>
          <t>Operating Revenue</t>
        </is>
      </c>
      <c r="C232" t="inlineStr">
        <is>
          <t>FY2024</t>
        </is>
      </c>
      <c r="D232" s="48" t="n">
        <v>-3945668.63</v>
      </c>
    </row>
    <row r="233">
      <c r="A233" t="inlineStr">
        <is>
          <t>9366-1049 QI</t>
        </is>
      </c>
      <c r="B233" t="inlineStr">
        <is>
          <t>Other Operating</t>
        </is>
      </c>
      <c r="C233" t="inlineStr">
        <is>
          <t>FY2024</t>
        </is>
      </c>
      <c r="D233" s="48" t="n">
        <v>51950.17</v>
      </c>
    </row>
    <row r="234">
      <c r="A234" t="inlineStr">
        <is>
          <t>9366-1049 QI</t>
        </is>
      </c>
      <c r="B234" t="inlineStr">
        <is>
          <t>COGS</t>
        </is>
      </c>
      <c r="C234" t="inlineStr">
        <is>
          <t>FY2024</t>
        </is>
      </c>
      <c r="D234" s="48" t="n">
        <v>1336954</v>
      </c>
    </row>
    <row r="235">
      <c r="A235" t="inlineStr">
        <is>
          <t>9366-1049 QI</t>
        </is>
      </c>
      <c r="B235" t="inlineStr">
        <is>
          <t>Administrative</t>
        </is>
      </c>
      <c r="C235" t="inlineStr">
        <is>
          <t>FY2024</t>
        </is>
      </c>
      <c r="D235" s="48" t="n">
        <v>104164.1</v>
      </c>
    </row>
    <row r="236">
      <c r="A236" t="inlineStr">
        <is>
          <t>9366-1049 QI</t>
        </is>
      </c>
      <c r="B236" t="inlineStr">
        <is>
          <t>Payroll &amp; Benefits</t>
        </is>
      </c>
      <c r="C236" t="inlineStr">
        <is>
          <t>FY2024</t>
        </is>
      </c>
      <c r="D236" s="48" t="n">
        <v>1410408.29</v>
      </c>
    </row>
    <row r="237">
      <c r="A237" t="inlineStr">
        <is>
          <t>9366-1049 QI</t>
        </is>
      </c>
      <c r="B237" t="inlineStr">
        <is>
          <t>Occupancy</t>
        </is>
      </c>
      <c r="C237" t="inlineStr">
        <is>
          <t>FY2024</t>
        </is>
      </c>
      <c r="D237" s="48" t="n">
        <v>204074.66</v>
      </c>
    </row>
    <row r="238">
      <c r="A238" t="inlineStr">
        <is>
          <t>9366-1049 QI</t>
        </is>
      </c>
      <c r="B238" t="inlineStr">
        <is>
          <t>Repairs &amp; Maintenance</t>
        </is>
      </c>
      <c r="C238" t="inlineStr">
        <is>
          <t>FY2024</t>
        </is>
      </c>
      <c r="D238" s="48" t="n">
        <v>162786.02</v>
      </c>
    </row>
    <row r="239">
      <c r="A239" t="inlineStr">
        <is>
          <t>9366-1049 QI</t>
        </is>
      </c>
      <c r="B239" t="inlineStr">
        <is>
          <t>Marketing &amp; Entertainment</t>
        </is>
      </c>
      <c r="C239" t="inlineStr">
        <is>
          <t>FY2024</t>
        </is>
      </c>
      <c r="D239" s="48" t="n">
        <v>74927.98</v>
      </c>
    </row>
    <row r="240">
      <c r="A240" t="inlineStr">
        <is>
          <t>9366-1049 QI</t>
        </is>
      </c>
      <c r="B240" t="inlineStr">
        <is>
          <t>Interest &amp; Financing</t>
        </is>
      </c>
      <c r="C240" t="inlineStr">
        <is>
          <t>FY2024</t>
        </is>
      </c>
      <c r="D240" s="48" t="n">
        <v>102454.37</v>
      </c>
    </row>
    <row r="241">
      <c r="A241" t="inlineStr">
        <is>
          <t>9366-1049 QI</t>
        </is>
      </c>
      <c r="B241" t="inlineStr">
        <is>
          <t>Amortization</t>
        </is>
      </c>
      <c r="C241" t="inlineStr">
        <is>
          <t>FY2024</t>
        </is>
      </c>
      <c r="D241" s="48" t="n">
        <v>75441</v>
      </c>
    </row>
    <row r="242">
      <c r="A242" t="inlineStr">
        <is>
          <t>9366-1049 QI</t>
        </is>
      </c>
      <c r="B242" t="inlineStr">
        <is>
          <t>Income Tax</t>
        </is>
      </c>
      <c r="C242" t="inlineStr">
        <is>
          <t>FY2024</t>
        </is>
      </c>
      <c r="D242" s="48" t="n">
        <v>12250</v>
      </c>
    </row>
    <row r="243">
      <c r="A243" t="inlineStr">
        <is>
          <t>9366-1049 QI</t>
        </is>
      </c>
      <c r="B243" t="inlineStr">
        <is>
          <t>Operating Revenue</t>
        </is>
      </c>
      <c r="C243" t="inlineStr">
        <is>
          <t>FY2023</t>
        </is>
      </c>
      <c r="D243" s="48" t="n">
        <v>-4192108.18</v>
      </c>
    </row>
    <row r="244">
      <c r="A244" t="inlineStr">
        <is>
          <t>9366-1049 QI</t>
        </is>
      </c>
      <c r="B244" t="inlineStr">
        <is>
          <t>Other Operating</t>
        </is>
      </c>
      <c r="C244" t="inlineStr">
        <is>
          <t>FY2023</t>
        </is>
      </c>
      <c r="D244" s="48" t="n">
        <v>47186.32</v>
      </c>
    </row>
    <row r="245">
      <c r="A245" t="inlineStr">
        <is>
          <t>9366-1049 QI</t>
        </is>
      </c>
      <c r="B245" t="inlineStr">
        <is>
          <t>COGS</t>
        </is>
      </c>
      <c r="C245" t="inlineStr">
        <is>
          <t>FY2023</t>
        </is>
      </c>
      <c r="D245" s="48" t="n">
        <v>1435652.25</v>
      </c>
    </row>
    <row r="246">
      <c r="A246" t="inlineStr">
        <is>
          <t>9366-1049 QI</t>
        </is>
      </c>
      <c r="B246" t="inlineStr">
        <is>
          <t>Administrative</t>
        </is>
      </c>
      <c r="C246" t="inlineStr">
        <is>
          <t>FY2023</t>
        </is>
      </c>
      <c r="D246" s="48" t="n">
        <v>89534.44</v>
      </c>
    </row>
    <row r="247">
      <c r="A247" t="inlineStr">
        <is>
          <t>9366-1049 QI</t>
        </is>
      </c>
      <c r="B247" t="inlineStr">
        <is>
          <t>Management Fees (Interco)</t>
        </is>
      </c>
      <c r="C247" t="inlineStr">
        <is>
          <t>FY2023</t>
        </is>
      </c>
      <c r="D247" s="48" t="n">
        <v>28000</v>
      </c>
    </row>
    <row r="248">
      <c r="A248" t="inlineStr">
        <is>
          <t>9366-1049 QI</t>
        </is>
      </c>
      <c r="B248" t="inlineStr">
        <is>
          <t>Payroll &amp; Benefits</t>
        </is>
      </c>
      <c r="C248" t="inlineStr">
        <is>
          <t>FY2023</t>
        </is>
      </c>
      <c r="D248" s="48" t="n">
        <v>1565414.79</v>
      </c>
    </row>
    <row r="249">
      <c r="A249" t="inlineStr">
        <is>
          <t>9366-1049 QI</t>
        </is>
      </c>
      <c r="B249" t="inlineStr">
        <is>
          <t>Occupancy</t>
        </is>
      </c>
      <c r="C249" t="inlineStr">
        <is>
          <t>FY2023</t>
        </is>
      </c>
      <c r="D249" s="48" t="n">
        <v>159546.21</v>
      </c>
    </row>
    <row r="250">
      <c r="A250" t="inlineStr">
        <is>
          <t>9366-1049 QI</t>
        </is>
      </c>
      <c r="B250" t="inlineStr">
        <is>
          <t>Repairs &amp; Maintenance</t>
        </is>
      </c>
      <c r="C250" t="inlineStr">
        <is>
          <t>FY2023</t>
        </is>
      </c>
      <c r="D250" s="48" t="n">
        <v>110590.5</v>
      </c>
    </row>
    <row r="251">
      <c r="A251" t="inlineStr">
        <is>
          <t>9366-1049 QI</t>
        </is>
      </c>
      <c r="B251" t="inlineStr">
        <is>
          <t>Marketing &amp; Entertainment</t>
        </is>
      </c>
      <c r="C251" t="inlineStr">
        <is>
          <t>FY2023</t>
        </is>
      </c>
      <c r="D251" s="48" t="n">
        <v>102861.78</v>
      </c>
    </row>
    <row r="252">
      <c r="A252" t="inlineStr">
        <is>
          <t>9366-1049 QI</t>
        </is>
      </c>
      <c r="B252" t="inlineStr">
        <is>
          <t>Interest &amp; Financing</t>
        </is>
      </c>
      <c r="C252" t="inlineStr">
        <is>
          <t>FY2023</t>
        </is>
      </c>
      <c r="D252" s="48" t="n">
        <v>95846.64999999999</v>
      </c>
    </row>
    <row r="253">
      <c r="A253" t="inlineStr">
        <is>
          <t>9366-1049 QI</t>
        </is>
      </c>
      <c r="B253" t="inlineStr">
        <is>
          <t>Amortization</t>
        </is>
      </c>
      <c r="C253" t="inlineStr">
        <is>
          <t>FY2023</t>
        </is>
      </c>
      <c r="D253" s="48" t="n">
        <v>45876</v>
      </c>
    </row>
    <row r="254">
      <c r="A254" t="inlineStr">
        <is>
          <t>9366-1049 QI</t>
        </is>
      </c>
      <c r="B254" t="inlineStr">
        <is>
          <t>Income Tax</t>
        </is>
      </c>
      <c r="C254" t="inlineStr">
        <is>
          <t>FY2023</t>
        </is>
      </c>
      <c r="D254" s="48" t="n">
        <v>83963</v>
      </c>
    </row>
    <row r="255">
      <c r="A255" t="inlineStr">
        <is>
          <t>9098-0558 QI</t>
        </is>
      </c>
      <c r="B255" t="inlineStr">
        <is>
          <t>Operating Revenue</t>
        </is>
      </c>
      <c r="C255" t="inlineStr">
        <is>
          <t>FY2025</t>
        </is>
      </c>
      <c r="D255" s="48" t="n">
        <v>-1606736.08</v>
      </c>
    </row>
    <row r="256">
      <c r="A256" t="inlineStr">
        <is>
          <t>9098-0558 QI</t>
        </is>
      </c>
      <c r="B256" t="inlineStr">
        <is>
          <t>Other Operating</t>
        </is>
      </c>
      <c r="C256" t="inlineStr">
        <is>
          <t>FY2025</t>
        </is>
      </c>
      <c r="D256" s="48" t="n">
        <v>11810.27</v>
      </c>
    </row>
    <row r="257">
      <c r="A257" t="inlineStr">
        <is>
          <t>9098-0558 QI</t>
        </is>
      </c>
      <c r="B257" t="inlineStr">
        <is>
          <t>Administrative</t>
        </is>
      </c>
      <c r="C257" t="inlineStr">
        <is>
          <t>FY2025</t>
        </is>
      </c>
      <c r="D257" s="48" t="n">
        <v>83140.49000000001</v>
      </c>
    </row>
    <row r="258">
      <c r="A258" t="inlineStr">
        <is>
          <t>9098-0558 QI</t>
        </is>
      </c>
      <c r="B258" t="inlineStr">
        <is>
          <t>Interest &amp; Financing</t>
        </is>
      </c>
      <c r="C258" t="inlineStr">
        <is>
          <t>FY2025</t>
        </is>
      </c>
      <c r="D258" s="48" t="n">
        <v>35063.04</v>
      </c>
    </row>
    <row r="259">
      <c r="A259" t="inlineStr">
        <is>
          <t>9098-0558 QI</t>
        </is>
      </c>
      <c r="B259" t="inlineStr">
        <is>
          <t>Management Fees (Interco)</t>
        </is>
      </c>
      <c r="C259" t="inlineStr">
        <is>
          <t>FY2025</t>
        </is>
      </c>
      <c r="D259" s="48" t="n">
        <v>51872</v>
      </c>
    </row>
    <row r="260">
      <c r="A260" t="inlineStr">
        <is>
          <t>9098-0558 QI</t>
        </is>
      </c>
      <c r="B260" t="inlineStr">
        <is>
          <t>COGS</t>
        </is>
      </c>
      <c r="C260" t="inlineStr">
        <is>
          <t>FY2025</t>
        </is>
      </c>
      <c r="D260" s="48" t="n">
        <v>712190.6899999999</v>
      </c>
    </row>
    <row r="261">
      <c r="A261" t="inlineStr">
        <is>
          <t>9098-0558 QI</t>
        </is>
      </c>
      <c r="B261" t="inlineStr">
        <is>
          <t>Payroll &amp; Benefits</t>
        </is>
      </c>
      <c r="C261" t="inlineStr">
        <is>
          <t>FY2025</t>
        </is>
      </c>
      <c r="D261" s="48" t="n">
        <v>371058.72</v>
      </c>
    </row>
    <row r="262">
      <c r="A262" t="inlineStr">
        <is>
          <t>9098-0558 QI</t>
        </is>
      </c>
      <c r="B262" t="inlineStr">
        <is>
          <t>Occupancy</t>
        </is>
      </c>
      <c r="C262" t="inlineStr">
        <is>
          <t>FY2025</t>
        </is>
      </c>
      <c r="D262" s="48" t="n">
        <v>63879.98</v>
      </c>
    </row>
    <row r="263">
      <c r="A263" t="inlineStr">
        <is>
          <t>9098-0558 QI</t>
        </is>
      </c>
      <c r="B263" t="inlineStr">
        <is>
          <t>Repairs &amp; Maintenance</t>
        </is>
      </c>
      <c r="C263" t="inlineStr">
        <is>
          <t>FY2025</t>
        </is>
      </c>
      <c r="D263" s="48" t="n">
        <v>14521.69</v>
      </c>
    </row>
    <row r="264">
      <c r="A264" t="inlineStr">
        <is>
          <t>9098-0558 QI</t>
        </is>
      </c>
      <c r="B264" t="inlineStr">
        <is>
          <t>Marketing &amp; Entertainment</t>
        </is>
      </c>
      <c r="C264" t="inlineStr">
        <is>
          <t>FY2025</t>
        </is>
      </c>
      <c r="D264" s="48" t="n">
        <v>267190.19</v>
      </c>
    </row>
    <row r="265">
      <c r="A265" t="inlineStr">
        <is>
          <t>9098-0558 QI</t>
        </is>
      </c>
      <c r="B265" t="inlineStr">
        <is>
          <t>Amortization</t>
        </is>
      </c>
      <c r="C265" t="inlineStr">
        <is>
          <t>FY2025</t>
        </is>
      </c>
      <c r="D265" s="48" t="n">
        <v>15416</v>
      </c>
    </row>
    <row r="266">
      <c r="A266" t="inlineStr">
        <is>
          <t>9098-0558 QI</t>
        </is>
      </c>
      <c r="B266" t="inlineStr">
        <is>
          <t>Operating Revenue</t>
        </is>
      </c>
      <c r="C266" t="inlineStr">
        <is>
          <t>FY2024</t>
        </is>
      </c>
      <c r="D266" s="48" t="n">
        <v>-1854065.71</v>
      </c>
    </row>
    <row r="267">
      <c r="A267" t="inlineStr">
        <is>
          <t>9098-0558 QI</t>
        </is>
      </c>
      <c r="B267" t="inlineStr">
        <is>
          <t>Other Operating</t>
        </is>
      </c>
      <c r="C267" t="inlineStr">
        <is>
          <t>FY2024</t>
        </is>
      </c>
      <c r="D267" s="48" t="n">
        <v>14821.35</v>
      </c>
    </row>
    <row r="268">
      <c r="A268" t="inlineStr">
        <is>
          <t>9098-0558 QI</t>
        </is>
      </c>
      <c r="B268" t="inlineStr">
        <is>
          <t>Administrative</t>
        </is>
      </c>
      <c r="C268" t="inlineStr">
        <is>
          <t>FY2024</t>
        </is>
      </c>
      <c r="D268" s="48" t="n">
        <v>54056.48</v>
      </c>
    </row>
    <row r="269">
      <c r="A269" t="inlineStr">
        <is>
          <t>9098-0558 QI</t>
        </is>
      </c>
      <c r="B269" t="inlineStr">
        <is>
          <t>Interest &amp; Financing</t>
        </is>
      </c>
      <c r="C269" t="inlineStr">
        <is>
          <t>FY2024</t>
        </is>
      </c>
      <c r="D269" s="48" t="n">
        <v>30851.77</v>
      </c>
    </row>
    <row r="270">
      <c r="A270" t="inlineStr">
        <is>
          <t>9098-0558 QI</t>
        </is>
      </c>
      <c r="B270" t="inlineStr">
        <is>
          <t>COGS</t>
        </is>
      </c>
      <c r="C270" t="inlineStr">
        <is>
          <t>FY2024</t>
        </is>
      </c>
      <c r="D270" s="48" t="n">
        <v>862520.42</v>
      </c>
    </row>
    <row r="271">
      <c r="A271" t="inlineStr">
        <is>
          <t>9098-0558 QI</t>
        </is>
      </c>
      <c r="B271" t="inlineStr">
        <is>
          <t>Payroll &amp; Benefits</t>
        </is>
      </c>
      <c r="C271" t="inlineStr">
        <is>
          <t>FY2024</t>
        </is>
      </c>
      <c r="D271" s="48" t="n">
        <v>360373.72</v>
      </c>
    </row>
    <row r="272">
      <c r="A272" t="inlineStr">
        <is>
          <t>9098-0558 QI</t>
        </is>
      </c>
      <c r="B272" t="inlineStr">
        <is>
          <t>Occupancy</t>
        </is>
      </c>
      <c r="C272" t="inlineStr">
        <is>
          <t>FY2024</t>
        </is>
      </c>
      <c r="D272" s="48" t="n">
        <v>84572.03</v>
      </c>
    </row>
    <row r="273">
      <c r="A273" t="inlineStr">
        <is>
          <t>9098-0558 QI</t>
        </is>
      </c>
      <c r="B273" t="inlineStr">
        <is>
          <t>Repairs &amp; Maintenance</t>
        </is>
      </c>
      <c r="C273" t="inlineStr">
        <is>
          <t>FY2024</t>
        </is>
      </c>
      <c r="D273" s="48" t="n">
        <v>27503.48</v>
      </c>
    </row>
    <row r="274">
      <c r="A274" t="inlineStr">
        <is>
          <t>9098-0558 QI</t>
        </is>
      </c>
      <c r="B274" t="inlineStr">
        <is>
          <t>Marketing &amp; Entertainment</t>
        </is>
      </c>
      <c r="C274" t="inlineStr">
        <is>
          <t>FY2024</t>
        </is>
      </c>
      <c r="D274" s="48" t="n">
        <v>371929.89</v>
      </c>
    </row>
    <row r="275">
      <c r="A275" t="inlineStr">
        <is>
          <t>9098-0558 QI</t>
        </is>
      </c>
      <c r="B275" t="inlineStr">
        <is>
          <t>Amortization</t>
        </is>
      </c>
      <c r="C275" t="inlineStr">
        <is>
          <t>FY2024</t>
        </is>
      </c>
      <c r="D275" s="48" t="n">
        <v>11293</v>
      </c>
    </row>
    <row r="276">
      <c r="A276" t="inlineStr">
        <is>
          <t>9098-0558 QI</t>
        </is>
      </c>
      <c r="B276" t="inlineStr">
        <is>
          <t>Income Tax</t>
        </is>
      </c>
      <c r="C276" t="inlineStr">
        <is>
          <t>FY2024</t>
        </is>
      </c>
      <c r="D276" s="48" t="n">
        <v>4426</v>
      </c>
    </row>
    <row r="277">
      <c r="A277" t="inlineStr">
        <is>
          <t>9098-0558 QI</t>
        </is>
      </c>
      <c r="B277" t="inlineStr">
        <is>
          <t>Operating Revenue</t>
        </is>
      </c>
      <c r="C277" t="inlineStr">
        <is>
          <t>FY2023</t>
        </is>
      </c>
      <c r="D277" s="48" t="n">
        <v>-1793621.56</v>
      </c>
    </row>
    <row r="278">
      <c r="A278" t="inlineStr">
        <is>
          <t>9098-0558 QI</t>
        </is>
      </c>
      <c r="B278" t="inlineStr">
        <is>
          <t>Other Operating</t>
        </is>
      </c>
      <c r="C278" t="inlineStr">
        <is>
          <t>FY2023</t>
        </is>
      </c>
      <c r="D278" s="48" t="n">
        <v>14534.84</v>
      </c>
    </row>
    <row r="279">
      <c r="A279" t="inlineStr">
        <is>
          <t>9098-0558 QI</t>
        </is>
      </c>
      <c r="B279" t="inlineStr">
        <is>
          <t>Administrative</t>
        </is>
      </c>
      <c r="C279" t="inlineStr">
        <is>
          <t>FY2023</t>
        </is>
      </c>
      <c r="D279" s="48" t="n">
        <v>65906.69</v>
      </c>
    </row>
    <row r="280">
      <c r="A280" t="inlineStr">
        <is>
          <t>9098-0558 QI</t>
        </is>
      </c>
      <c r="B280" t="inlineStr">
        <is>
          <t>Interest &amp; Financing</t>
        </is>
      </c>
      <c r="C280" t="inlineStr">
        <is>
          <t>FY2023</t>
        </is>
      </c>
      <c r="D280" s="48" t="n">
        <v>31042.81</v>
      </c>
    </row>
    <row r="281">
      <c r="A281" t="inlineStr">
        <is>
          <t>9098-0558 QI</t>
        </is>
      </c>
      <c r="B281" t="inlineStr">
        <is>
          <t>Management Fees (Interco)</t>
        </is>
      </c>
      <c r="C281" t="inlineStr">
        <is>
          <t>FY2023</t>
        </is>
      </c>
      <c r="D281" s="48" t="n">
        <v>96000</v>
      </c>
    </row>
    <row r="282">
      <c r="A282" t="inlineStr">
        <is>
          <t>9098-0558 QI</t>
        </is>
      </c>
      <c r="B282" t="inlineStr">
        <is>
          <t>COGS</t>
        </is>
      </c>
      <c r="C282" t="inlineStr">
        <is>
          <t>FY2023</t>
        </is>
      </c>
      <c r="D282" s="48" t="n">
        <v>745956.71</v>
      </c>
    </row>
    <row r="283">
      <c r="A283" t="inlineStr">
        <is>
          <t>9098-0558 QI</t>
        </is>
      </c>
      <c r="B283" t="inlineStr">
        <is>
          <t>Payroll &amp; Benefits</t>
        </is>
      </c>
      <c r="C283" t="inlineStr">
        <is>
          <t>FY2023</t>
        </is>
      </c>
      <c r="D283" s="48" t="n">
        <v>430360.81</v>
      </c>
    </row>
    <row r="284">
      <c r="A284" t="inlineStr">
        <is>
          <t>9098-0558 QI</t>
        </is>
      </c>
      <c r="B284" t="inlineStr">
        <is>
          <t>Occupancy</t>
        </is>
      </c>
      <c r="C284" t="inlineStr">
        <is>
          <t>FY2023</t>
        </is>
      </c>
      <c r="D284" s="48" t="n">
        <v>63947.25</v>
      </c>
    </row>
    <row r="285">
      <c r="A285" t="inlineStr">
        <is>
          <t>9098-0558 QI</t>
        </is>
      </c>
      <c r="B285" t="inlineStr">
        <is>
          <t>Repairs &amp; Maintenance</t>
        </is>
      </c>
      <c r="C285" t="inlineStr">
        <is>
          <t>FY2023</t>
        </is>
      </c>
      <c r="D285" s="48" t="n">
        <v>20527.86</v>
      </c>
    </row>
    <row r="286">
      <c r="A286" t="inlineStr">
        <is>
          <t>9098-0558 QI</t>
        </is>
      </c>
      <c r="B286" t="inlineStr">
        <is>
          <t>Marketing &amp; Entertainment</t>
        </is>
      </c>
      <c r="C286" t="inlineStr">
        <is>
          <t>FY2023</t>
        </is>
      </c>
      <c r="D286" s="48" t="n">
        <v>230794.19</v>
      </c>
    </row>
    <row r="287">
      <c r="A287" t="inlineStr">
        <is>
          <t>9098-0558 QI</t>
        </is>
      </c>
      <c r="B287" t="inlineStr">
        <is>
          <t>Amortization</t>
        </is>
      </c>
      <c r="C287" t="inlineStr">
        <is>
          <t>FY2023</t>
        </is>
      </c>
      <c r="D287" s="48" t="n">
        <v>7171</v>
      </c>
    </row>
    <row r="288">
      <c r="A288" t="inlineStr">
        <is>
          <t>9098-0558 QI</t>
        </is>
      </c>
      <c r="B288" t="inlineStr">
        <is>
          <t>Income Tax</t>
        </is>
      </c>
      <c r="C288" t="inlineStr">
        <is>
          <t>FY2023</t>
        </is>
      </c>
      <c r="D288" s="48" t="n">
        <v>11162</v>
      </c>
    </row>
    <row r="289">
      <c r="A289" t="inlineStr">
        <is>
          <t>2749-8567 QI</t>
        </is>
      </c>
      <c r="B289" t="inlineStr">
        <is>
          <t>Other Operating</t>
        </is>
      </c>
      <c r="C289" t="inlineStr">
        <is>
          <t>FY2025</t>
        </is>
      </c>
      <c r="D289" s="48" t="n">
        <v>19007.52</v>
      </c>
    </row>
    <row r="290">
      <c r="A290" t="inlineStr">
        <is>
          <t>2749-8567 QI</t>
        </is>
      </c>
      <c r="B290" t="inlineStr">
        <is>
          <t>Operating Revenue</t>
        </is>
      </c>
      <c r="C290" t="inlineStr">
        <is>
          <t>FY2025</t>
        </is>
      </c>
      <c r="D290" s="48" t="n">
        <v>-109765.32</v>
      </c>
    </row>
    <row r="291">
      <c r="A291" t="inlineStr">
        <is>
          <t>2749-8567 QI</t>
        </is>
      </c>
      <c r="B291" t="inlineStr">
        <is>
          <t>Repairs &amp; Maintenance</t>
        </is>
      </c>
      <c r="C291" t="inlineStr">
        <is>
          <t>FY2025</t>
        </is>
      </c>
      <c r="D291" s="48" t="n">
        <v>194.47</v>
      </c>
    </row>
    <row r="292">
      <c r="A292" t="inlineStr">
        <is>
          <t>2749-8567 QI</t>
        </is>
      </c>
      <c r="B292" t="inlineStr">
        <is>
          <t>Management Fees (Interco)</t>
        </is>
      </c>
      <c r="C292" t="inlineStr">
        <is>
          <t>FY2025</t>
        </is>
      </c>
      <c r="D292" s="48" t="n">
        <v>36000</v>
      </c>
    </row>
    <row r="293">
      <c r="A293" t="inlineStr">
        <is>
          <t>2749-8567 QI</t>
        </is>
      </c>
      <c r="B293" t="inlineStr">
        <is>
          <t>Administrative</t>
        </is>
      </c>
      <c r="C293" t="inlineStr">
        <is>
          <t>FY2025</t>
        </is>
      </c>
      <c r="D293" s="48" t="n">
        <v>7991.46</v>
      </c>
    </row>
    <row r="294">
      <c r="A294" t="inlineStr">
        <is>
          <t>2749-8567 QI</t>
        </is>
      </c>
      <c r="B294" t="inlineStr">
        <is>
          <t>Amortization</t>
        </is>
      </c>
      <c r="C294" t="inlineStr">
        <is>
          <t>FY2025</t>
        </is>
      </c>
      <c r="D294" s="48" t="n">
        <v>20030</v>
      </c>
    </row>
    <row r="295">
      <c r="A295" t="inlineStr">
        <is>
          <t>2749-8567 QI</t>
        </is>
      </c>
      <c r="B295" t="inlineStr">
        <is>
          <t>Interest &amp; Financing</t>
        </is>
      </c>
      <c r="C295" t="inlineStr">
        <is>
          <t>FY2025</t>
        </is>
      </c>
      <c r="D295" s="48" t="n">
        <v>461.73</v>
      </c>
    </row>
    <row r="296">
      <c r="A296" t="inlineStr">
        <is>
          <t>2749-8567 QI</t>
        </is>
      </c>
      <c r="B296" t="inlineStr">
        <is>
          <t>Income Tax</t>
        </is>
      </c>
      <c r="C296" t="inlineStr">
        <is>
          <t>FY2025</t>
        </is>
      </c>
      <c r="D296" s="48" t="n">
        <v>4196</v>
      </c>
    </row>
    <row r="297">
      <c r="A297" t="inlineStr">
        <is>
          <t>2749-8567 QI</t>
        </is>
      </c>
      <c r="B297" t="inlineStr">
        <is>
          <t>Other Operating</t>
        </is>
      </c>
      <c r="C297" t="inlineStr">
        <is>
          <t>FY2024</t>
        </is>
      </c>
      <c r="D297" s="48" t="n">
        <v>19007.52</v>
      </c>
    </row>
    <row r="298">
      <c r="A298" t="inlineStr">
        <is>
          <t>2749-8567 QI</t>
        </is>
      </c>
      <c r="B298" t="inlineStr">
        <is>
          <t>Operating Revenue</t>
        </is>
      </c>
      <c r="C298" t="inlineStr">
        <is>
          <t>FY2024</t>
        </is>
      </c>
      <c r="D298" s="48" t="n">
        <v>-109765.32</v>
      </c>
    </row>
    <row r="299">
      <c r="A299" t="inlineStr">
        <is>
          <t>2749-8567 QI</t>
        </is>
      </c>
      <c r="B299" t="inlineStr">
        <is>
          <t>Repairs &amp; Maintenance</t>
        </is>
      </c>
      <c r="C299" t="inlineStr">
        <is>
          <t>FY2024</t>
        </is>
      </c>
      <c r="D299" s="48" t="n">
        <v>4960.18</v>
      </c>
    </row>
    <row r="300">
      <c r="A300" t="inlineStr">
        <is>
          <t>2749-8567 QI</t>
        </is>
      </c>
      <c r="B300" t="inlineStr">
        <is>
          <t>Management Fees (Interco)</t>
        </is>
      </c>
      <c r="C300" t="inlineStr">
        <is>
          <t>FY2024</t>
        </is>
      </c>
      <c r="D300" s="48" t="n">
        <v>25000</v>
      </c>
    </row>
    <row r="301">
      <c r="A301" t="inlineStr">
        <is>
          <t>2749-8567 QI</t>
        </is>
      </c>
      <c r="B301" t="inlineStr">
        <is>
          <t>Administrative</t>
        </is>
      </c>
      <c r="C301" t="inlineStr">
        <is>
          <t>FY2024</t>
        </is>
      </c>
      <c r="D301" s="48" t="n">
        <v>12837.77</v>
      </c>
    </row>
    <row r="302">
      <c r="A302" t="inlineStr">
        <is>
          <t>2749-8567 QI</t>
        </is>
      </c>
      <c r="B302" t="inlineStr">
        <is>
          <t>Amortization</t>
        </is>
      </c>
      <c r="C302" t="inlineStr">
        <is>
          <t>FY2024</t>
        </is>
      </c>
      <c r="D302" s="48" t="n">
        <v>22645</v>
      </c>
    </row>
    <row r="303">
      <c r="A303" t="inlineStr">
        <is>
          <t>2749-8567 QI</t>
        </is>
      </c>
      <c r="B303" t="inlineStr">
        <is>
          <t>Interest &amp; Financing</t>
        </is>
      </c>
      <c r="C303" t="inlineStr">
        <is>
          <t>FY2024</t>
        </is>
      </c>
      <c r="D303" s="48" t="n">
        <v>153.5</v>
      </c>
    </row>
    <row r="304">
      <c r="A304" t="inlineStr">
        <is>
          <t>2749-8567 QI</t>
        </is>
      </c>
      <c r="B304" t="inlineStr">
        <is>
          <t>Income Tax</t>
        </is>
      </c>
      <c r="C304" t="inlineStr">
        <is>
          <t>FY2024</t>
        </is>
      </c>
      <c r="D304" s="48" t="n">
        <v>3126</v>
      </c>
    </row>
    <row r="305">
      <c r="A305" t="inlineStr">
        <is>
          <t>2749-8567 QI</t>
        </is>
      </c>
      <c r="B305" t="inlineStr">
        <is>
          <t>Other Operating</t>
        </is>
      </c>
      <c r="C305" t="inlineStr">
        <is>
          <t>FY2023</t>
        </is>
      </c>
      <c r="D305" s="48" t="n">
        <v>829.6</v>
      </c>
    </row>
    <row r="306">
      <c r="A306" t="inlineStr">
        <is>
          <t>2749-8567 QI</t>
        </is>
      </c>
      <c r="B306" t="inlineStr">
        <is>
          <t>Operating Revenue</t>
        </is>
      </c>
      <c r="C306" t="inlineStr">
        <is>
          <t>FY2023</t>
        </is>
      </c>
      <c r="D306" s="48" t="n">
        <v>-84565.2</v>
      </c>
    </row>
    <row r="307">
      <c r="A307" t="inlineStr">
        <is>
          <t>2749-8567 QI</t>
        </is>
      </c>
      <c r="B307" t="inlineStr">
        <is>
          <t>Management Fees (Interco)</t>
        </is>
      </c>
      <c r="C307" t="inlineStr">
        <is>
          <t>FY2023</t>
        </is>
      </c>
      <c r="D307" s="48" t="n">
        <v>24000</v>
      </c>
    </row>
    <row r="308">
      <c r="A308" t="inlineStr">
        <is>
          <t>2749-8567 QI</t>
        </is>
      </c>
      <c r="B308" t="inlineStr">
        <is>
          <t>Administrative</t>
        </is>
      </c>
      <c r="C308" t="inlineStr">
        <is>
          <t>FY2023</t>
        </is>
      </c>
      <c r="D308" s="48" t="n">
        <v>8780.15</v>
      </c>
    </row>
    <row r="309">
      <c r="A309" t="inlineStr">
        <is>
          <t>2749-8567 QI</t>
        </is>
      </c>
      <c r="B309" t="inlineStr">
        <is>
          <t>Amortization</t>
        </is>
      </c>
      <c r="C309" t="inlineStr">
        <is>
          <t>FY2023</t>
        </is>
      </c>
      <c r="D309" s="48" t="n">
        <v>25230</v>
      </c>
    </row>
    <row r="310">
      <c r="A310" t="inlineStr">
        <is>
          <t>2749-8567 QI</t>
        </is>
      </c>
      <c r="B310" t="inlineStr">
        <is>
          <t>Interest &amp; Financing</t>
        </is>
      </c>
      <c r="C310" t="inlineStr">
        <is>
          <t>FY2023</t>
        </is>
      </c>
      <c r="D310" s="48" t="n">
        <v>123.98</v>
      </c>
    </row>
    <row r="311">
      <c r="A311" t="inlineStr">
        <is>
          <t>2749-8567 QI</t>
        </is>
      </c>
      <c r="B311" t="inlineStr">
        <is>
          <t>Income Tax</t>
        </is>
      </c>
      <c r="C311" t="inlineStr">
        <is>
          <t>FY2023</t>
        </is>
      </c>
      <c r="D311" s="48" t="n">
        <v>3017</v>
      </c>
    </row>
    <row r="312">
      <c r="A312" t="inlineStr">
        <is>
          <t>N/A_SanSan</t>
        </is>
      </c>
      <c r="B312" t="inlineStr">
        <is>
          <t>Operating Revenue</t>
        </is>
      </c>
      <c r="C312" t="inlineStr">
        <is>
          <t>FY2025</t>
        </is>
      </c>
      <c r="D312" s="48" t="n">
        <v>-72000</v>
      </c>
    </row>
    <row r="313">
      <c r="A313" t="inlineStr">
        <is>
          <t>N/A_SanSan</t>
        </is>
      </c>
      <c r="B313" t="inlineStr">
        <is>
          <t>Interest &amp; Financing</t>
        </is>
      </c>
      <c r="C313" t="inlineStr">
        <is>
          <t>FY2025</t>
        </is>
      </c>
      <c r="D313" s="48" t="n">
        <v>3002.35</v>
      </c>
    </row>
    <row r="314">
      <c r="A314" t="inlineStr">
        <is>
          <t>N/A_SanSan</t>
        </is>
      </c>
      <c r="B314" t="inlineStr">
        <is>
          <t>Amortization</t>
        </is>
      </c>
      <c r="C314" t="inlineStr">
        <is>
          <t>FY2025</t>
        </is>
      </c>
      <c r="D314" s="48" t="n">
        <v>10807</v>
      </c>
    </row>
    <row r="315">
      <c r="A315" t="inlineStr">
        <is>
          <t>N/A_SanSan</t>
        </is>
      </c>
      <c r="B315" t="inlineStr">
        <is>
          <t>Occupancy</t>
        </is>
      </c>
      <c r="C315" t="inlineStr">
        <is>
          <t>FY2025</t>
        </is>
      </c>
      <c r="D315" s="48" t="n">
        <v>69715.82000000001</v>
      </c>
    </row>
    <row r="316">
      <c r="A316" t="inlineStr">
        <is>
          <t>N/A_SanSan</t>
        </is>
      </c>
      <c r="B316" t="inlineStr">
        <is>
          <t>Administrative</t>
        </is>
      </c>
      <c r="C316" t="inlineStr">
        <is>
          <t>FY2025</t>
        </is>
      </c>
      <c r="D316" s="48" t="n">
        <v>4296</v>
      </c>
    </row>
    <row r="317">
      <c r="A317" t="inlineStr">
        <is>
          <t>N/A_SanSan</t>
        </is>
      </c>
      <c r="B317" t="inlineStr">
        <is>
          <t>Operating Revenue</t>
        </is>
      </c>
      <c r="C317" t="inlineStr">
        <is>
          <t>FY2024</t>
        </is>
      </c>
      <c r="D317" s="48" t="n">
        <v>-72001</v>
      </c>
    </row>
    <row r="318">
      <c r="A318" t="inlineStr">
        <is>
          <t>N/A_SanSan</t>
        </is>
      </c>
      <c r="B318" t="inlineStr">
        <is>
          <t>Interest &amp; Financing</t>
        </is>
      </c>
      <c r="C318" t="inlineStr">
        <is>
          <t>FY2024</t>
        </is>
      </c>
      <c r="D318" s="48" t="n">
        <v>340.62</v>
      </c>
    </row>
    <row r="319">
      <c r="A319" t="inlineStr">
        <is>
          <t>N/A_SanSan</t>
        </is>
      </c>
      <c r="B319" t="inlineStr">
        <is>
          <t>Amortization</t>
        </is>
      </c>
      <c r="C319" t="inlineStr">
        <is>
          <t>FY2024</t>
        </is>
      </c>
      <c r="D319" s="48" t="n">
        <v>11257</v>
      </c>
    </row>
    <row r="320">
      <c r="A320" t="inlineStr">
        <is>
          <t>N/A_SanSan</t>
        </is>
      </c>
      <c r="B320" t="inlineStr">
        <is>
          <t>Occupancy</t>
        </is>
      </c>
      <c r="C320" t="inlineStr">
        <is>
          <t>FY2024</t>
        </is>
      </c>
      <c r="D320" s="48" t="n">
        <v>69340.75999999999</v>
      </c>
    </row>
    <row r="321">
      <c r="A321" t="inlineStr">
        <is>
          <t>N/A_SanSan</t>
        </is>
      </c>
      <c r="B321" t="inlineStr">
        <is>
          <t>Administrative</t>
        </is>
      </c>
      <c r="C321" t="inlineStr">
        <is>
          <t>FY2024</t>
        </is>
      </c>
      <c r="D321" s="48" t="n">
        <v>2203.93</v>
      </c>
    </row>
    <row r="322">
      <c r="A322" t="inlineStr">
        <is>
          <t>N/A_SanSan</t>
        </is>
      </c>
      <c r="B322" t="inlineStr">
        <is>
          <t>Operating Revenue</t>
        </is>
      </c>
      <c r="C322" t="inlineStr">
        <is>
          <t>FY2023</t>
        </is>
      </c>
      <c r="D322" s="48" t="n">
        <v>-72000</v>
      </c>
    </row>
    <row r="323">
      <c r="A323" t="inlineStr">
        <is>
          <t>N/A_SanSan</t>
        </is>
      </c>
      <c r="B323" t="inlineStr">
        <is>
          <t>Interest &amp; Financing</t>
        </is>
      </c>
      <c r="C323" t="inlineStr">
        <is>
          <t>FY2023</t>
        </is>
      </c>
      <c r="D323" s="48" t="n">
        <v>2422.9</v>
      </c>
    </row>
    <row r="324">
      <c r="A324" t="inlineStr">
        <is>
          <t>N/A_SanSan</t>
        </is>
      </c>
      <c r="B324" t="inlineStr">
        <is>
          <t>Amortization</t>
        </is>
      </c>
      <c r="C324" t="inlineStr">
        <is>
          <t>FY2023</t>
        </is>
      </c>
      <c r="D324" s="48" t="n">
        <v>11458</v>
      </c>
    </row>
    <row r="325">
      <c r="A325" t="inlineStr">
        <is>
          <t>N/A_SanSan</t>
        </is>
      </c>
      <c r="B325" t="inlineStr">
        <is>
          <t>Occupancy</t>
        </is>
      </c>
      <c r="C325" t="inlineStr">
        <is>
          <t>FY2023</t>
        </is>
      </c>
      <c r="D325" s="48" t="n">
        <v>67298.08</v>
      </c>
    </row>
    <row r="326">
      <c r="A326" t="inlineStr">
        <is>
          <t>N/A_SanSan</t>
        </is>
      </c>
      <c r="B326" t="inlineStr">
        <is>
          <t>Administrative</t>
        </is>
      </c>
      <c r="C326" t="inlineStr">
        <is>
          <t>FY2023</t>
        </is>
      </c>
      <c r="D326" s="48" t="n">
        <v>24671.28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2026-09-16T14:43:17Z</dcterms:created>
  <dcterms:modified xsi:type="dcterms:W3CDTF">2026-09-16T14:43:18Z</dcterms:modified>
</cp:coreProperties>
</file>