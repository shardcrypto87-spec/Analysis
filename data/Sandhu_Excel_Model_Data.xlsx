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Fact_TrialBalance" sheetId="2" state="visible" r:id="rId2"/>
    <sheet xmlns:r="http://schemas.openxmlformats.org/officeDocument/2006/relationships" name="Dim_Entity" sheetId="3" state="visible" r:id="rId3"/>
    <sheet xmlns:r="http://schemas.openxmlformats.org/officeDocument/2006/relationships" name="Dim_Calendar" sheetId="4" state="visible" r:id="rId4"/>
    <sheet xmlns:r="http://schemas.openxmlformats.org/officeDocument/2006/relationships" name="DAX Meas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Courier New"/>
      <sz val="10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C2430"/>
      </patternFill>
    </fill>
  </fills>
  <borders count="2">
    <border>
      <left/>
      <right/>
      <top/>
      <bottom/>
      <diagonal/>
    </border>
    <border>
      <left style="thin">
        <color rgb="00D9D4C6"/>
      </left>
      <right style="thin">
        <color rgb="00D9D4C6"/>
      </right>
      <top style="thin">
        <color rgb="00D9D4C6"/>
      </top>
      <bottom style="thin">
        <color rgb="00D9D4C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3" t="inlineStr">
        <is>
          <t>Sandhu Group — Excel Power Pivot Starter Kit</t>
        </is>
      </c>
    </row>
    <row r="2"/>
    <row r="3">
      <c r="A3" t="inlineStr">
        <is>
          <t>This workbook has the data, not a working Power Pivot model — that has to be built inside Excel itself.</t>
        </is>
      </c>
    </row>
    <row r="4">
      <c r="A4" t="inlineStr">
        <is>
          <t>Follow these steps in order:</t>
        </is>
      </c>
    </row>
    <row r="5"/>
    <row r="6">
      <c r="A6" s="4" t="inlineStr">
        <is>
          <t>1.</t>
        </is>
      </c>
      <c r="B6" s="5" t="inlineStr">
        <is>
          <t>On each of the 3 data sheets (Fact_TrialBalance, Dim_Entity, Dim_Calendar), click any cell in the data, then Ctrl+T to turn it into a proper Excel Table. Give each table a clear name in Table Design → Table Name (e.g. 'Fact_TrialBalance').</t>
        </is>
      </c>
    </row>
    <row r="7">
      <c r="A7" s="4" t="inlineStr">
        <is>
          <t>2.</t>
        </is>
      </c>
      <c r="B7" s="5" t="inlineStr">
        <is>
          <t>Click any cell in a table → Power Pivot tab → 'Add to Data Model'. Repeat for all 3 tables.</t>
        </is>
      </c>
    </row>
    <row r="8">
      <c r="A8" s="4" t="inlineStr">
        <is>
          <t>3.</t>
        </is>
      </c>
      <c r="B8" s="5" t="inlineStr">
        <is>
          <t>In the Power Pivot window: Home → Diagram View. Drag EntityId from Fact_TrialBalance to EntityId in Dim_Entity to create the relationship. Repeat: FiscalYear to FiscalYear in Dim_Calendar.</t>
        </is>
      </c>
    </row>
    <row r="9">
      <c r="A9" s="4" t="inlineStr">
        <is>
          <t>4.</t>
        </is>
      </c>
      <c r="B9" s="5" t="inlineStr">
        <is>
          <t>Back in Data View, click Fact_TrialBalance's tab at the bottom → click an empty cell in the Calculation Area below the table → paste in each formula from the 'DAX Measures' sheet, one at a time, pressing Enter after each.</t>
        </is>
      </c>
    </row>
    <row r="10">
      <c r="A10" s="4" t="inlineStr">
        <is>
          <t>5.</t>
        </is>
      </c>
      <c r="B10" s="5" t="inlineStr">
        <is>
          <t>Back in Excel: Insert → PivotTable → From Data Model. Build your Matrix/Table the same way we planned for Power BI — EntityName in Rows, your measures in Values.</t>
        </is>
      </c>
    </row>
    <row r="11">
      <c r="A11" s="4" t="inlineStr">
        <is>
          <t>6.</t>
        </is>
      </c>
      <c r="B11" s="5" t="inlineStr">
        <is>
          <t>Insert → Slicer → choose FiscalYear (and EntityName if you want click-to-filter) → these work the same way Power BI slicers did, and are genuinely free to share since anyone with Excel can open and use them.</t>
        </is>
      </c>
    </row>
    <row r="12">
      <c r="A12" s="4" t="inlineStr"/>
      <c r="B12" s="5" t="inlineStr"/>
    </row>
    <row r="13">
      <c r="A13" s="4" t="inlineStr">
        <is>
          <t>Once built, save as .xlsx and email it directly — no license, no Power BI Service, no cost for whoever opens it.</t>
        </is>
      </c>
      <c r="B1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4" customWidth="1" min="4" max="4"/>
  </cols>
  <sheetData>
    <row r="1">
      <c r="A1" s="1" t="inlineStr">
        <is>
          <t>EntityId</t>
        </is>
      </c>
      <c r="B1" s="1" t="inlineStr">
        <is>
          <t>Category</t>
        </is>
      </c>
      <c r="C1" s="1" t="inlineStr">
        <is>
          <t>FiscalYear</t>
        </is>
      </c>
      <c r="D1" s="1" t="inlineStr">
        <is>
          <t>Amount</t>
        </is>
      </c>
    </row>
    <row r="2">
      <c r="A2" s="2" t="inlineStr">
        <is>
          <t>9357-7427 QI</t>
        </is>
      </c>
      <c r="B2" s="2" t="inlineStr">
        <is>
          <t>Payroll &amp; Benefits</t>
        </is>
      </c>
      <c r="C2" s="2" t="inlineStr">
        <is>
          <t>FY2025</t>
        </is>
      </c>
      <c r="D2" s="2" t="n">
        <v>477.24</v>
      </c>
    </row>
    <row r="3">
      <c r="A3" s="2" t="inlineStr">
        <is>
          <t>9357-7427 QI</t>
        </is>
      </c>
      <c r="B3" s="2" t="inlineStr">
        <is>
          <t>Administrative</t>
        </is>
      </c>
      <c r="C3" s="2" t="inlineStr">
        <is>
          <t>FY2025</t>
        </is>
      </c>
      <c r="D3" s="2" t="n">
        <v>2597</v>
      </c>
    </row>
    <row r="4">
      <c r="A4" s="2" t="inlineStr">
        <is>
          <t>9357-7427 QI</t>
        </is>
      </c>
      <c r="B4" s="2" t="inlineStr">
        <is>
          <t>Interest &amp; Financing</t>
        </is>
      </c>
      <c r="C4" s="2" t="inlineStr">
        <is>
          <t>FY2025</t>
        </is>
      </c>
      <c r="D4" s="2" t="n">
        <v>72.58</v>
      </c>
    </row>
    <row r="5">
      <c r="A5" s="2" t="inlineStr">
        <is>
          <t>9366-1676 QI</t>
        </is>
      </c>
      <c r="B5" s="2" t="inlineStr">
        <is>
          <t>Operating Revenue</t>
        </is>
      </c>
      <c r="C5" s="2" t="inlineStr">
        <is>
          <t>FY2025</t>
        </is>
      </c>
      <c r="D5" s="2" t="n">
        <v>-190152.12</v>
      </c>
    </row>
    <row r="6">
      <c r="A6" s="2" t="inlineStr">
        <is>
          <t>9366-1676 QI</t>
        </is>
      </c>
      <c r="B6" s="2" t="inlineStr">
        <is>
          <t>Administrative</t>
        </is>
      </c>
      <c r="C6" s="2" t="inlineStr">
        <is>
          <t>FY2025</t>
        </is>
      </c>
      <c r="D6" s="2" t="n">
        <v>215463.66</v>
      </c>
    </row>
    <row r="7">
      <c r="A7" s="2" t="inlineStr">
        <is>
          <t>9366-1676 QI</t>
        </is>
      </c>
      <c r="B7" s="2" t="inlineStr">
        <is>
          <t>Occupancy</t>
        </is>
      </c>
      <c r="C7" s="2" t="inlineStr">
        <is>
          <t>FY2025</t>
        </is>
      </c>
      <c r="D7" s="2" t="n">
        <v>33717.57</v>
      </c>
    </row>
    <row r="8">
      <c r="A8" s="2" t="inlineStr">
        <is>
          <t>9366-1676 QI</t>
        </is>
      </c>
      <c r="B8" s="2" t="inlineStr">
        <is>
          <t>Interest &amp; Financing</t>
        </is>
      </c>
      <c r="C8" s="2" t="inlineStr">
        <is>
          <t>FY2025</t>
        </is>
      </c>
      <c r="D8" s="2" t="n">
        <v>396762.02</v>
      </c>
    </row>
    <row r="9">
      <c r="A9" s="2" t="inlineStr">
        <is>
          <t>9366-1676 QI</t>
        </is>
      </c>
      <c r="B9" s="2" t="inlineStr">
        <is>
          <t>Repairs &amp; Maintenance</t>
        </is>
      </c>
      <c r="C9" s="2" t="inlineStr">
        <is>
          <t>FY2025</t>
        </is>
      </c>
      <c r="D9" s="2" t="n">
        <v>425</v>
      </c>
    </row>
    <row r="10">
      <c r="A10" s="2" t="inlineStr">
        <is>
          <t>9366-1676 QI</t>
        </is>
      </c>
      <c r="B10" s="2" t="inlineStr">
        <is>
          <t>Amortization</t>
        </is>
      </c>
      <c r="C10" s="2" t="inlineStr">
        <is>
          <t>FY2025</t>
        </is>
      </c>
      <c r="D10" s="2" t="n">
        <v>204136</v>
      </c>
    </row>
    <row r="11">
      <c r="A11" s="2" t="inlineStr">
        <is>
          <t>9425-4547 QI</t>
        </is>
      </c>
      <c r="B11" s="2" t="inlineStr">
        <is>
          <t>Operating Revenue</t>
        </is>
      </c>
      <c r="C11" s="2" t="inlineStr">
        <is>
          <t>FY2025</t>
        </is>
      </c>
      <c r="D11" s="2" t="n">
        <v>-273186</v>
      </c>
    </row>
    <row r="12">
      <c r="A12" s="2" t="inlineStr">
        <is>
          <t>9425-4547 QI</t>
        </is>
      </c>
      <c r="B12" s="2" t="inlineStr">
        <is>
          <t>Investment &amp; Other Income</t>
        </is>
      </c>
      <c r="C12" s="2" t="inlineStr">
        <is>
          <t>FY2025</t>
        </is>
      </c>
      <c r="D12" s="2" t="n">
        <v>-84146.62</v>
      </c>
    </row>
    <row r="13">
      <c r="A13" s="2" t="inlineStr">
        <is>
          <t>9425-4547 QI</t>
        </is>
      </c>
      <c r="B13" s="2" t="inlineStr">
        <is>
          <t>Administrative</t>
        </is>
      </c>
      <c r="C13" s="2" t="inlineStr">
        <is>
          <t>FY2025</t>
        </is>
      </c>
      <c r="D13" s="2" t="n">
        <v>81647.35000000001</v>
      </c>
    </row>
    <row r="14">
      <c r="A14" s="2" t="inlineStr">
        <is>
          <t>9425-4547 QI</t>
        </is>
      </c>
      <c r="B14" s="2" t="inlineStr">
        <is>
          <t>Occupancy</t>
        </is>
      </c>
      <c r="C14" s="2" t="inlineStr">
        <is>
          <t>FY2025</t>
        </is>
      </c>
      <c r="D14" s="2" t="n">
        <v>8110.21</v>
      </c>
    </row>
    <row r="15">
      <c r="A15" s="2" t="inlineStr">
        <is>
          <t>9425-4547 QI</t>
        </is>
      </c>
      <c r="B15" s="2" t="inlineStr">
        <is>
          <t>Interest &amp; Financing</t>
        </is>
      </c>
      <c r="C15" s="2" t="inlineStr">
        <is>
          <t>FY2025</t>
        </is>
      </c>
      <c r="D15" s="2" t="n">
        <v>147839</v>
      </c>
    </row>
    <row r="16">
      <c r="A16" s="2" t="inlineStr">
        <is>
          <t>9425-4547 QI</t>
        </is>
      </c>
      <c r="B16" s="2" t="inlineStr">
        <is>
          <t>Amortization</t>
        </is>
      </c>
      <c r="C16" s="2" t="inlineStr">
        <is>
          <t>FY2025</t>
        </is>
      </c>
      <c r="D16" s="2" t="n">
        <v>14870</v>
      </c>
    </row>
    <row r="17">
      <c r="A17" s="2" t="inlineStr">
        <is>
          <t>9425-4547 QI</t>
        </is>
      </c>
      <c r="B17" s="2" t="inlineStr">
        <is>
          <t>Income Tax</t>
        </is>
      </c>
      <c r="C17" s="2" t="inlineStr">
        <is>
          <t>FY2025</t>
        </is>
      </c>
      <c r="D17" s="2" t="n">
        <v>14359</v>
      </c>
    </row>
    <row r="18">
      <c r="A18" s="2" t="inlineStr">
        <is>
          <t>9455-4177 QI</t>
        </is>
      </c>
      <c r="B18" s="2" t="inlineStr">
        <is>
          <t>Administrative</t>
        </is>
      </c>
      <c r="C18" s="2" t="inlineStr">
        <is>
          <t>FY2025</t>
        </is>
      </c>
      <c r="D18" s="2" t="n">
        <v>2944</v>
      </c>
    </row>
    <row r="19">
      <c r="A19" s="2" t="inlineStr">
        <is>
          <t>9455-4177 QI</t>
        </is>
      </c>
      <c r="B19" s="2" t="inlineStr">
        <is>
          <t>Interest &amp; Financing</t>
        </is>
      </c>
      <c r="C19" s="2" t="inlineStr">
        <is>
          <t>FY2025</t>
        </is>
      </c>
      <c r="D19" s="2" t="n">
        <v>71.31</v>
      </c>
    </row>
    <row r="20">
      <c r="A20" s="2" t="inlineStr">
        <is>
          <t>9455-4169 QI</t>
        </is>
      </c>
      <c r="B20" s="2" t="inlineStr">
        <is>
          <t>Administrative</t>
        </is>
      </c>
      <c r="C20" s="2" t="inlineStr">
        <is>
          <t>FY2025</t>
        </is>
      </c>
      <c r="D20" s="2" t="n">
        <v>2994</v>
      </c>
    </row>
    <row r="21">
      <c r="A21" s="2" t="inlineStr">
        <is>
          <t>9455-4169 QI</t>
        </is>
      </c>
      <c r="B21" s="2" t="inlineStr">
        <is>
          <t>Interest &amp; Financing</t>
        </is>
      </c>
      <c r="C21" s="2" t="inlineStr">
        <is>
          <t>FY2025</t>
        </is>
      </c>
      <c r="D21" s="2" t="n">
        <v>71.34999999999999</v>
      </c>
    </row>
    <row r="22">
      <c r="A22" s="2" t="inlineStr">
        <is>
          <t>9455-4201 QI</t>
        </is>
      </c>
      <c r="B22" s="2" t="inlineStr">
        <is>
          <t>Investment &amp; Other Income</t>
        </is>
      </c>
      <c r="C22" s="2" t="inlineStr">
        <is>
          <t>FY2025</t>
        </is>
      </c>
      <c r="D22" s="2" t="n">
        <v>-673859.71</v>
      </c>
    </row>
    <row r="23">
      <c r="A23" s="2" t="inlineStr">
        <is>
          <t>9455-4201 QI</t>
        </is>
      </c>
      <c r="B23" s="2" t="inlineStr">
        <is>
          <t>Administrative</t>
        </is>
      </c>
      <c r="C23" s="2" t="inlineStr">
        <is>
          <t>FY2025</t>
        </is>
      </c>
      <c r="D23" s="2" t="n">
        <v>12508.63</v>
      </c>
    </row>
    <row r="24">
      <c r="A24" s="2" t="inlineStr">
        <is>
          <t>9455-4201 QI</t>
        </is>
      </c>
      <c r="B24" s="2" t="inlineStr">
        <is>
          <t>Interest &amp; Financing</t>
        </is>
      </c>
      <c r="C24" s="2" t="inlineStr">
        <is>
          <t>FY2025</t>
        </is>
      </c>
      <c r="D24" s="2" t="n">
        <v>89815.85000000001</v>
      </c>
    </row>
    <row r="25">
      <c r="A25" s="2" t="inlineStr">
        <is>
          <t>9108-6876 QI</t>
        </is>
      </c>
      <c r="B25" s="2" t="inlineStr">
        <is>
          <t>Operating Revenue</t>
        </is>
      </c>
      <c r="C25" s="2" t="inlineStr">
        <is>
          <t>FY2025</t>
        </is>
      </c>
      <c r="D25" s="2" t="n">
        <v>-2619357.52</v>
      </c>
    </row>
    <row r="26">
      <c r="A26" s="2" t="inlineStr">
        <is>
          <t>9108-6876 QI</t>
        </is>
      </c>
      <c r="B26" s="2" t="inlineStr">
        <is>
          <t>Payroll &amp; Benefits</t>
        </is>
      </c>
      <c r="C26" s="2" t="inlineStr">
        <is>
          <t>FY2025</t>
        </is>
      </c>
      <c r="D26" s="2" t="n">
        <v>621319.65</v>
      </c>
    </row>
    <row r="27">
      <c r="A27" s="2" t="inlineStr">
        <is>
          <t>9108-6876 QI</t>
        </is>
      </c>
      <c r="B27" s="2" t="inlineStr">
        <is>
          <t>Administrative</t>
        </is>
      </c>
      <c r="C27" s="2" t="inlineStr">
        <is>
          <t>FY2025</t>
        </is>
      </c>
      <c r="D27" s="2" t="n">
        <v>168226.05</v>
      </c>
    </row>
    <row r="28">
      <c r="A28" s="2" t="inlineStr">
        <is>
          <t>9108-6876 QI</t>
        </is>
      </c>
      <c r="B28" s="2" t="inlineStr">
        <is>
          <t>Management Fees (Interco)</t>
        </is>
      </c>
      <c r="C28" s="2" t="inlineStr">
        <is>
          <t>FY2025</t>
        </is>
      </c>
      <c r="D28" s="2" t="n">
        <v>0</v>
      </c>
    </row>
    <row r="29">
      <c r="A29" s="2" t="inlineStr">
        <is>
          <t>9108-6876 QI</t>
        </is>
      </c>
      <c r="B29" s="2" t="inlineStr">
        <is>
          <t>Occupancy</t>
        </is>
      </c>
      <c r="C29" s="2" t="inlineStr">
        <is>
          <t>FY2025</t>
        </is>
      </c>
      <c r="D29" s="2" t="n">
        <v>293846.95</v>
      </c>
    </row>
    <row r="30">
      <c r="A30" s="2" t="inlineStr">
        <is>
          <t>9108-6876 QI</t>
        </is>
      </c>
      <c r="B30" s="2" t="inlineStr">
        <is>
          <t>Other Operating</t>
        </is>
      </c>
      <c r="C30" s="2" t="inlineStr">
        <is>
          <t>FY2025</t>
        </is>
      </c>
      <c r="D30" s="2" t="n">
        <v>220492.18</v>
      </c>
    </row>
    <row r="31">
      <c r="A31" s="2" t="inlineStr">
        <is>
          <t>9108-6876 QI</t>
        </is>
      </c>
      <c r="B31" s="2" t="inlineStr">
        <is>
          <t>Interest &amp; Financing</t>
        </is>
      </c>
      <c r="C31" s="2" t="inlineStr">
        <is>
          <t>FY2025</t>
        </is>
      </c>
      <c r="D31" s="2" t="n">
        <v>92484.47</v>
      </c>
    </row>
    <row r="32">
      <c r="A32" s="2" t="inlineStr">
        <is>
          <t>9108-6876 QI</t>
        </is>
      </c>
      <c r="B32" s="2" t="inlineStr">
        <is>
          <t>Marketing &amp; Entertainment</t>
        </is>
      </c>
      <c r="C32" s="2" t="inlineStr">
        <is>
          <t>FY2025</t>
        </is>
      </c>
      <c r="D32" s="2" t="n">
        <v>265493.63</v>
      </c>
    </row>
    <row r="33">
      <c r="A33" s="2" t="inlineStr">
        <is>
          <t>9108-6876 QI</t>
        </is>
      </c>
      <c r="B33" s="2" t="inlineStr">
        <is>
          <t>Repairs &amp; Maintenance</t>
        </is>
      </c>
      <c r="C33" s="2" t="inlineStr">
        <is>
          <t>FY2025</t>
        </is>
      </c>
      <c r="D33" s="2" t="n">
        <v>191530.24</v>
      </c>
    </row>
    <row r="34">
      <c r="A34" s="2" t="inlineStr">
        <is>
          <t>9108-6876 QI</t>
        </is>
      </c>
      <c r="B34" s="2" t="inlineStr">
        <is>
          <t>Amortization</t>
        </is>
      </c>
      <c r="C34" s="2" t="inlineStr">
        <is>
          <t>FY2025</t>
        </is>
      </c>
      <c r="D34" s="2" t="n">
        <v>196184</v>
      </c>
    </row>
    <row r="35">
      <c r="A35" s="2" t="inlineStr">
        <is>
          <t>9108-6876 QI</t>
        </is>
      </c>
      <c r="B35" s="2" t="inlineStr">
        <is>
          <t>COGS</t>
        </is>
      </c>
      <c r="C35" s="2" t="inlineStr">
        <is>
          <t>FY2025</t>
        </is>
      </c>
      <c r="D35" s="2" t="n">
        <v>253612.21</v>
      </c>
    </row>
    <row r="36">
      <c r="A36" s="2" t="inlineStr">
        <is>
          <t>9108-6876 QI</t>
        </is>
      </c>
      <c r="B36" s="2" t="inlineStr">
        <is>
          <t>Income Tax</t>
        </is>
      </c>
      <c r="C36" s="2" t="inlineStr">
        <is>
          <t>FY2025</t>
        </is>
      </c>
      <c r="D36" s="2" t="n">
        <v>11587</v>
      </c>
    </row>
    <row r="37">
      <c r="A37" s="2" t="inlineStr">
        <is>
          <t>N/A</t>
        </is>
      </c>
      <c r="B37" s="2" t="inlineStr">
        <is>
          <t>Operating Revenue</t>
        </is>
      </c>
      <c r="C37" s="2" t="inlineStr">
        <is>
          <t>FY2025</t>
        </is>
      </c>
      <c r="D37" s="2" t="n">
        <v>-95567.31</v>
      </c>
    </row>
    <row r="38">
      <c r="A38" s="2" t="inlineStr">
        <is>
          <t>N/A</t>
        </is>
      </c>
      <c r="B38" s="2" t="inlineStr">
        <is>
          <t>Management Fees (Interco)</t>
        </is>
      </c>
      <c r="C38" s="2" t="inlineStr">
        <is>
          <t>FY2025</t>
        </is>
      </c>
      <c r="D38" s="2" t="n">
        <v>-4000</v>
      </c>
    </row>
    <row r="39">
      <c r="A39" s="2" t="inlineStr">
        <is>
          <t>N/A</t>
        </is>
      </c>
      <c r="B39" s="2" t="inlineStr">
        <is>
          <t>COGS</t>
        </is>
      </c>
      <c r="C39" s="2" t="inlineStr">
        <is>
          <t>FY2025</t>
        </is>
      </c>
      <c r="D39" s="2" t="n">
        <v>26137.11</v>
      </c>
    </row>
    <row r="40">
      <c r="A40" s="2" t="inlineStr">
        <is>
          <t>N/A</t>
        </is>
      </c>
      <c r="B40" s="2" t="inlineStr">
        <is>
          <t>Other Operating</t>
        </is>
      </c>
      <c r="C40" s="2" t="inlineStr">
        <is>
          <t>FY2025</t>
        </is>
      </c>
      <c r="D40" s="2" t="n">
        <v>810</v>
      </c>
    </row>
    <row r="41">
      <c r="A41" s="2" t="inlineStr">
        <is>
          <t>N/A</t>
        </is>
      </c>
      <c r="B41" s="2" t="inlineStr">
        <is>
          <t>Payroll &amp; Benefits</t>
        </is>
      </c>
      <c r="C41" s="2" t="inlineStr">
        <is>
          <t>FY2025</t>
        </is>
      </c>
      <c r="D41" s="2" t="n">
        <v>49571.73</v>
      </c>
    </row>
    <row r="42">
      <c r="A42" s="2" t="inlineStr">
        <is>
          <t>N/A</t>
        </is>
      </c>
      <c r="B42" s="2" t="inlineStr">
        <is>
          <t>Administrative</t>
        </is>
      </c>
      <c r="C42" s="2" t="inlineStr">
        <is>
          <t>FY2025</t>
        </is>
      </c>
      <c r="D42" s="2" t="n">
        <v>9462.879999999999</v>
      </c>
    </row>
    <row r="43">
      <c r="A43" s="2" t="inlineStr">
        <is>
          <t>N/A</t>
        </is>
      </c>
      <c r="B43" s="2" t="inlineStr">
        <is>
          <t>Occupancy</t>
        </is>
      </c>
      <c r="C43" s="2" t="inlineStr">
        <is>
          <t>FY2025</t>
        </is>
      </c>
      <c r="D43" s="2" t="n">
        <v>4362.05</v>
      </c>
    </row>
    <row r="44">
      <c r="A44" s="2" t="inlineStr">
        <is>
          <t>N/A</t>
        </is>
      </c>
      <c r="B44" s="2" t="inlineStr">
        <is>
          <t>Marketing &amp; Entertainment</t>
        </is>
      </c>
      <c r="C44" s="2" t="inlineStr">
        <is>
          <t>FY2025</t>
        </is>
      </c>
      <c r="D44" s="2" t="n">
        <v>14786</v>
      </c>
    </row>
    <row r="45">
      <c r="A45" s="2" t="inlineStr">
        <is>
          <t>N/A</t>
        </is>
      </c>
      <c r="B45" s="2" t="inlineStr">
        <is>
          <t>Repairs &amp; Maintenance</t>
        </is>
      </c>
      <c r="C45" s="2" t="inlineStr">
        <is>
          <t>FY2025</t>
        </is>
      </c>
      <c r="D45" s="2" t="n">
        <v>9729.889999999999</v>
      </c>
    </row>
    <row r="46">
      <c r="A46" s="2" t="inlineStr">
        <is>
          <t>N/A</t>
        </is>
      </c>
      <c r="B46" s="2" t="inlineStr">
        <is>
          <t>Amortization</t>
        </is>
      </c>
      <c r="C46" s="2" t="inlineStr">
        <is>
          <t>FY2025</t>
        </is>
      </c>
      <c r="D46" s="2" t="n">
        <v>11858</v>
      </c>
    </row>
    <row r="47">
      <c r="A47" s="2" t="inlineStr">
        <is>
          <t>N/A</t>
        </is>
      </c>
      <c r="B47" s="2" t="inlineStr">
        <is>
          <t>Interest &amp; Financing</t>
        </is>
      </c>
      <c r="C47" s="2" t="inlineStr">
        <is>
          <t>FY2025</t>
        </is>
      </c>
      <c r="D47" s="2" t="n">
        <v>2968.54</v>
      </c>
    </row>
    <row r="48">
      <c r="A48" s="2" t="inlineStr">
        <is>
          <t>9096-0436 QI</t>
        </is>
      </c>
      <c r="B48" s="2" t="inlineStr">
        <is>
          <t>Operating Revenue</t>
        </is>
      </c>
      <c r="C48" s="2" t="inlineStr">
        <is>
          <t>FY2025</t>
        </is>
      </c>
      <c r="D48" s="2" t="n">
        <v>-182159.16</v>
      </c>
    </row>
    <row r="49">
      <c r="A49" s="2" t="inlineStr">
        <is>
          <t>9096-0436 QI</t>
        </is>
      </c>
      <c r="B49" s="2" t="inlineStr">
        <is>
          <t>COGS</t>
        </is>
      </c>
      <c r="C49" s="2" t="inlineStr">
        <is>
          <t>FY2025</t>
        </is>
      </c>
      <c r="D49" s="2" t="n">
        <v>21629.4</v>
      </c>
    </row>
    <row r="50">
      <c r="A50" s="2" t="inlineStr">
        <is>
          <t>9096-0436 QI</t>
        </is>
      </c>
      <c r="B50" s="2" t="inlineStr">
        <is>
          <t>Other Operating</t>
        </is>
      </c>
      <c r="C50" s="2" t="inlineStr">
        <is>
          <t>FY2025</t>
        </is>
      </c>
      <c r="D50" s="2" t="n">
        <v>27832.1</v>
      </c>
    </row>
    <row r="51">
      <c r="A51" s="2" t="inlineStr">
        <is>
          <t>9096-0436 QI</t>
        </is>
      </c>
      <c r="B51" s="2" t="inlineStr">
        <is>
          <t>Payroll &amp; Benefits</t>
        </is>
      </c>
      <c r="C51" s="2" t="inlineStr">
        <is>
          <t>FY2025</t>
        </is>
      </c>
      <c r="D51" s="2" t="n">
        <v>69042.92999999999</v>
      </c>
    </row>
    <row r="52">
      <c r="A52" s="2" t="inlineStr">
        <is>
          <t>9096-0436 QI</t>
        </is>
      </c>
      <c r="B52" s="2" t="inlineStr">
        <is>
          <t>Administrative</t>
        </is>
      </c>
      <c r="C52" s="2" t="inlineStr">
        <is>
          <t>FY2025</t>
        </is>
      </c>
      <c r="D52" s="2" t="n">
        <v>31662.59</v>
      </c>
    </row>
    <row r="53">
      <c r="A53" s="2" t="inlineStr">
        <is>
          <t>9096-0436 QI</t>
        </is>
      </c>
      <c r="B53" s="2" t="inlineStr">
        <is>
          <t>Occupancy</t>
        </is>
      </c>
      <c r="C53" s="2" t="inlineStr">
        <is>
          <t>FY2025</t>
        </is>
      </c>
      <c r="D53" s="2" t="n">
        <v>84249.49000000001</v>
      </c>
    </row>
    <row r="54">
      <c r="A54" s="2" t="inlineStr">
        <is>
          <t>9096-0436 QI</t>
        </is>
      </c>
      <c r="B54" s="2" t="inlineStr">
        <is>
          <t>Interest &amp; Financing</t>
        </is>
      </c>
      <c r="C54" s="2" t="inlineStr">
        <is>
          <t>FY2025</t>
        </is>
      </c>
      <c r="D54" s="2" t="n">
        <v>7029.13</v>
      </c>
    </row>
    <row r="55">
      <c r="A55" s="2" t="inlineStr">
        <is>
          <t>9096-0436 QI</t>
        </is>
      </c>
      <c r="B55" s="2" t="inlineStr">
        <is>
          <t>Marketing &amp; Entertainment</t>
        </is>
      </c>
      <c r="C55" s="2" t="inlineStr">
        <is>
          <t>FY2025</t>
        </is>
      </c>
      <c r="D55" s="2" t="n">
        <v>10695.5</v>
      </c>
    </row>
    <row r="56">
      <c r="A56" s="2" t="inlineStr">
        <is>
          <t>9096-0436 QI</t>
        </is>
      </c>
      <c r="B56" s="2" t="inlineStr">
        <is>
          <t>Repairs &amp; Maintenance</t>
        </is>
      </c>
      <c r="C56" s="2" t="inlineStr">
        <is>
          <t>FY2025</t>
        </is>
      </c>
      <c r="D56" s="2" t="n">
        <v>3911.77</v>
      </c>
    </row>
    <row r="57">
      <c r="A57" s="2" t="inlineStr">
        <is>
          <t>9096-0436 QI</t>
        </is>
      </c>
      <c r="B57" s="2" t="inlineStr">
        <is>
          <t>Amortization</t>
        </is>
      </c>
      <c r="C57" s="2" t="inlineStr">
        <is>
          <t>FY2025</t>
        </is>
      </c>
      <c r="D57" s="2" t="n">
        <v>8519</v>
      </c>
    </row>
    <row r="58">
      <c r="A58" s="2" t="inlineStr">
        <is>
          <t>9096-0436 QI</t>
        </is>
      </c>
      <c r="B58" s="2" t="inlineStr">
        <is>
          <t>Management Fees (Interco)</t>
        </is>
      </c>
      <c r="C58" s="2" t="inlineStr">
        <is>
          <t>FY2025</t>
        </is>
      </c>
      <c r="D58" s="2" t="n">
        <v>-63372</v>
      </c>
    </row>
    <row r="59">
      <c r="A59" s="2" t="inlineStr">
        <is>
          <t>9096-0436 QI</t>
        </is>
      </c>
      <c r="B59" s="2" t="inlineStr">
        <is>
          <t>Income Tax</t>
        </is>
      </c>
      <c r="C59" s="2" t="inlineStr">
        <is>
          <t>FY2025</t>
        </is>
      </c>
      <c r="D59" s="2" t="n">
        <v>0</v>
      </c>
    </row>
    <row r="60">
      <c r="A60" s="2" t="inlineStr">
        <is>
          <t>9455-8236 QI</t>
        </is>
      </c>
      <c r="B60" s="2" t="inlineStr">
        <is>
          <t>Operating Revenue</t>
        </is>
      </c>
      <c r="C60" s="2" t="inlineStr">
        <is>
          <t>FY2025</t>
        </is>
      </c>
      <c r="D60" s="2" t="n">
        <v>-5213628.68</v>
      </c>
    </row>
    <row r="61">
      <c r="A61" s="2" t="inlineStr">
        <is>
          <t>9455-8236 QI</t>
        </is>
      </c>
      <c r="B61" s="2" t="inlineStr">
        <is>
          <t>COGS</t>
        </is>
      </c>
      <c r="C61" s="2" t="inlineStr">
        <is>
          <t>FY2025</t>
        </is>
      </c>
      <c r="D61" s="2" t="n">
        <v>1647558.89</v>
      </c>
    </row>
    <row r="62">
      <c r="A62" s="2" t="inlineStr">
        <is>
          <t>9455-8236 QI</t>
        </is>
      </c>
      <c r="B62" s="2" t="inlineStr">
        <is>
          <t>Other Operating</t>
        </is>
      </c>
      <c r="C62" s="2" t="inlineStr">
        <is>
          <t>FY2025</t>
        </is>
      </c>
      <c r="D62" s="2" t="n">
        <v>76726.25999999999</v>
      </c>
    </row>
    <row r="63">
      <c r="A63" s="2" t="inlineStr">
        <is>
          <t>9455-8236 QI</t>
        </is>
      </c>
      <c r="B63" s="2" t="inlineStr">
        <is>
          <t>Payroll &amp; Benefits</t>
        </is>
      </c>
      <c r="C63" s="2" t="inlineStr">
        <is>
          <t>FY2025</t>
        </is>
      </c>
      <c r="D63" s="2" t="n">
        <v>1780201.39</v>
      </c>
    </row>
    <row r="64">
      <c r="A64" s="2" t="inlineStr">
        <is>
          <t>9455-8236 QI</t>
        </is>
      </c>
      <c r="B64" s="2" t="inlineStr">
        <is>
          <t>Administrative</t>
        </is>
      </c>
      <c r="C64" s="2" t="inlineStr">
        <is>
          <t>FY2025</t>
        </is>
      </c>
      <c r="D64" s="2" t="n">
        <v>102978.72</v>
      </c>
    </row>
    <row r="65">
      <c r="A65" s="2" t="inlineStr">
        <is>
          <t>9455-8236 QI</t>
        </is>
      </c>
      <c r="B65" s="2" t="inlineStr">
        <is>
          <t>Management Fees (Interco)</t>
        </is>
      </c>
      <c r="C65" s="2" t="inlineStr">
        <is>
          <t>FY2025</t>
        </is>
      </c>
      <c r="D65" s="2" t="n">
        <v>30000</v>
      </c>
    </row>
    <row r="66">
      <c r="A66" s="2" t="inlineStr">
        <is>
          <t>9455-8236 QI</t>
        </is>
      </c>
      <c r="B66" s="2" t="inlineStr">
        <is>
          <t>Occupancy</t>
        </is>
      </c>
      <c r="C66" s="2" t="inlineStr">
        <is>
          <t>FY2025</t>
        </is>
      </c>
      <c r="D66" s="2" t="n">
        <v>474171.72</v>
      </c>
    </row>
    <row r="67">
      <c r="A67" s="2" t="inlineStr">
        <is>
          <t>9455-8236 QI</t>
        </is>
      </c>
      <c r="B67" s="2" t="inlineStr">
        <is>
          <t>Interest &amp; Financing</t>
        </is>
      </c>
      <c r="C67" s="2" t="inlineStr">
        <is>
          <t>FY2025</t>
        </is>
      </c>
      <c r="D67" s="2" t="n">
        <v>146738.3</v>
      </c>
    </row>
    <row r="68">
      <c r="A68" s="2" t="inlineStr">
        <is>
          <t>9455-8236 QI</t>
        </is>
      </c>
      <c r="B68" s="2" t="inlineStr">
        <is>
          <t>Marketing &amp; Entertainment</t>
        </is>
      </c>
      <c r="C68" s="2" t="inlineStr">
        <is>
          <t>FY2025</t>
        </is>
      </c>
      <c r="D68" s="2" t="n">
        <v>141793.12</v>
      </c>
    </row>
    <row r="69">
      <c r="A69" s="2" t="inlineStr">
        <is>
          <t>9455-8236 QI</t>
        </is>
      </c>
      <c r="B69" s="2" t="inlineStr">
        <is>
          <t>Repairs &amp; Maintenance</t>
        </is>
      </c>
      <c r="C69" s="2" t="inlineStr">
        <is>
          <t>FY2025</t>
        </is>
      </c>
      <c r="D69" s="2" t="n">
        <v>88959.36</v>
      </c>
    </row>
    <row r="70">
      <c r="A70" s="2" t="inlineStr">
        <is>
          <t>9455-8236 QI</t>
        </is>
      </c>
      <c r="B70" s="2" t="inlineStr">
        <is>
          <t>Amortization</t>
        </is>
      </c>
      <c r="C70" s="2" t="inlineStr">
        <is>
          <t>FY2025</t>
        </is>
      </c>
      <c r="D70" s="2" t="n">
        <v>199058</v>
      </c>
    </row>
    <row r="71">
      <c r="A71" s="2" t="inlineStr">
        <is>
          <t>9455-8236 QI</t>
        </is>
      </c>
      <c r="B71" s="2" t="inlineStr">
        <is>
          <t>Income Tax</t>
        </is>
      </c>
      <c r="C71" s="2" t="inlineStr">
        <is>
          <t>FY2025</t>
        </is>
      </c>
      <c r="D71" s="2" t="n">
        <v>62548</v>
      </c>
    </row>
    <row r="72">
      <c r="A72" s="2" t="inlineStr">
        <is>
          <t>9525-2854 QI</t>
        </is>
      </c>
      <c r="B72" s="2" t="inlineStr">
        <is>
          <t>Operating Revenue</t>
        </is>
      </c>
      <c r="C72" s="2" t="inlineStr">
        <is>
          <t>FY2025</t>
        </is>
      </c>
      <c r="D72" s="2" t="n">
        <v>-60617.22</v>
      </c>
    </row>
    <row r="73">
      <c r="A73" s="2" t="inlineStr">
        <is>
          <t>9525-2854 QI</t>
        </is>
      </c>
      <c r="B73" s="2" t="inlineStr">
        <is>
          <t>COGS</t>
        </is>
      </c>
      <c r="C73" s="2" t="inlineStr">
        <is>
          <t>FY2025</t>
        </is>
      </c>
      <c r="D73" s="2" t="n">
        <v>28338.6</v>
      </c>
    </row>
    <row r="74">
      <c r="A74" s="2" t="inlineStr">
        <is>
          <t>9525-2854 QI</t>
        </is>
      </c>
      <c r="B74" s="2" t="inlineStr">
        <is>
          <t>Other Operating</t>
        </is>
      </c>
      <c r="C74" s="2" t="inlineStr">
        <is>
          <t>FY2025</t>
        </is>
      </c>
      <c r="D74" s="2" t="n">
        <v>2150.87</v>
      </c>
    </row>
    <row r="75">
      <c r="A75" s="2" t="inlineStr">
        <is>
          <t>9525-2854 QI</t>
        </is>
      </c>
      <c r="B75" s="2" t="inlineStr">
        <is>
          <t>Payroll &amp; Benefits</t>
        </is>
      </c>
      <c r="C75" s="2" t="inlineStr">
        <is>
          <t>FY2025</t>
        </is>
      </c>
      <c r="D75" s="2" t="n">
        <v>17017.8</v>
      </c>
    </row>
    <row r="76">
      <c r="A76" s="2" t="inlineStr">
        <is>
          <t>9525-2854 QI</t>
        </is>
      </c>
      <c r="B76" s="2" t="inlineStr">
        <is>
          <t>Administrative</t>
        </is>
      </c>
      <c r="C76" s="2" t="inlineStr">
        <is>
          <t>FY2025</t>
        </is>
      </c>
      <c r="D76" s="2" t="n">
        <v>7827.94</v>
      </c>
    </row>
    <row r="77">
      <c r="A77" s="2" t="inlineStr">
        <is>
          <t>9525-2854 QI</t>
        </is>
      </c>
      <c r="B77" s="2" t="inlineStr">
        <is>
          <t>Occupancy</t>
        </is>
      </c>
      <c r="C77" s="2" t="inlineStr">
        <is>
          <t>FY2025</t>
        </is>
      </c>
      <c r="D77" s="2" t="n">
        <v>8.15</v>
      </c>
    </row>
    <row r="78">
      <c r="A78" s="2" t="inlineStr">
        <is>
          <t>9525-2854 QI</t>
        </is>
      </c>
      <c r="B78" s="2" t="inlineStr">
        <is>
          <t>Interest &amp; Financing</t>
        </is>
      </c>
      <c r="C78" s="2" t="inlineStr">
        <is>
          <t>FY2025</t>
        </is>
      </c>
      <c r="D78" s="2" t="n">
        <v>160</v>
      </c>
    </row>
    <row r="79">
      <c r="A79" s="2" t="inlineStr">
        <is>
          <t>9525-2854 QI</t>
        </is>
      </c>
      <c r="B79" s="2" t="inlineStr">
        <is>
          <t>Marketing &amp; Entertainment</t>
        </is>
      </c>
      <c r="C79" s="2" t="inlineStr">
        <is>
          <t>FY2025</t>
        </is>
      </c>
      <c r="D79" s="2" t="n">
        <v>4169</v>
      </c>
    </row>
    <row r="80">
      <c r="A80" s="2" t="inlineStr">
        <is>
          <t>9525-2854 QI</t>
        </is>
      </c>
      <c r="B80" s="2" t="inlineStr">
        <is>
          <t>Repairs &amp; Maintenance</t>
        </is>
      </c>
      <c r="C80" s="2" t="inlineStr">
        <is>
          <t>FY2025</t>
        </is>
      </c>
      <c r="D80" s="2" t="n">
        <v>5393.52</v>
      </c>
    </row>
    <row r="81">
      <c r="A81" s="2" t="inlineStr">
        <is>
          <t>9525-2854 QI</t>
        </is>
      </c>
      <c r="B81" s="2" t="inlineStr">
        <is>
          <t>Amortization</t>
        </is>
      </c>
      <c r="C81" s="2" t="inlineStr">
        <is>
          <t>FY2025</t>
        </is>
      </c>
      <c r="D81" s="2" t="n">
        <v>1273</v>
      </c>
    </row>
    <row r="82">
      <c r="A82" s="2" t="inlineStr">
        <is>
          <t>9366-1049 QI</t>
        </is>
      </c>
      <c r="B82" s="2" t="inlineStr">
        <is>
          <t>Operating Revenue</t>
        </is>
      </c>
      <c r="C82" s="2" t="inlineStr">
        <is>
          <t>FY2025</t>
        </is>
      </c>
      <c r="D82" s="2" t="n">
        <v>-4019729.03</v>
      </c>
    </row>
    <row r="83">
      <c r="A83" s="2" t="inlineStr">
        <is>
          <t>9366-1049 QI</t>
        </is>
      </c>
      <c r="B83" s="2" t="inlineStr">
        <is>
          <t>Investment &amp; Other Income</t>
        </is>
      </c>
      <c r="C83" s="2" t="inlineStr">
        <is>
          <t>FY2025</t>
        </is>
      </c>
      <c r="D83" s="2" t="n">
        <v>-368.06</v>
      </c>
    </row>
    <row r="84">
      <c r="A84" s="2" t="inlineStr">
        <is>
          <t>9366-1049 QI</t>
        </is>
      </c>
      <c r="B84" s="2" t="inlineStr">
        <is>
          <t>Administrative</t>
        </is>
      </c>
      <c r="C84" s="2" t="inlineStr">
        <is>
          <t>FY2025</t>
        </is>
      </c>
      <c r="D84" s="2" t="n">
        <v>107199.45</v>
      </c>
    </row>
    <row r="85">
      <c r="A85" s="2" t="inlineStr">
        <is>
          <t>9366-1049 QI</t>
        </is>
      </c>
      <c r="B85" s="2" t="inlineStr">
        <is>
          <t>COGS</t>
        </is>
      </c>
      <c r="C85" s="2" t="inlineStr">
        <is>
          <t>FY2025</t>
        </is>
      </c>
      <c r="D85" s="2" t="n">
        <v>1119490.92</v>
      </c>
    </row>
    <row r="86">
      <c r="A86" s="2" t="inlineStr">
        <is>
          <t>9366-1049 QI</t>
        </is>
      </c>
      <c r="B86" s="2" t="inlineStr">
        <is>
          <t>Other Operating</t>
        </is>
      </c>
      <c r="C86" s="2" t="inlineStr">
        <is>
          <t>FY2025</t>
        </is>
      </c>
      <c r="D86" s="2" t="n">
        <v>51113.58</v>
      </c>
    </row>
    <row r="87">
      <c r="A87" s="2" t="inlineStr">
        <is>
          <t>9366-1049 QI</t>
        </is>
      </c>
      <c r="B87" s="2" t="inlineStr">
        <is>
          <t>Payroll &amp; Benefits</t>
        </is>
      </c>
      <c r="C87" s="2" t="inlineStr">
        <is>
          <t>FY2025</t>
        </is>
      </c>
      <c r="D87" s="2" t="n">
        <v>1648002.47</v>
      </c>
    </row>
    <row r="88">
      <c r="A88" s="2" t="inlineStr">
        <is>
          <t>9366-1049 QI</t>
        </is>
      </c>
      <c r="B88" s="2" t="inlineStr">
        <is>
          <t>Occupancy</t>
        </is>
      </c>
      <c r="C88" s="2" t="inlineStr">
        <is>
          <t>FY2025</t>
        </is>
      </c>
      <c r="D88" s="2" t="n">
        <v>285429.57</v>
      </c>
    </row>
    <row r="89">
      <c r="A89" s="2" t="inlineStr">
        <is>
          <t>9366-1049 QI</t>
        </is>
      </c>
      <c r="B89" s="2" t="inlineStr">
        <is>
          <t>Interest &amp; Financing</t>
        </is>
      </c>
      <c r="C89" s="2" t="inlineStr">
        <is>
          <t>FY2025</t>
        </is>
      </c>
      <c r="D89" s="2" t="n">
        <v>119756.18</v>
      </c>
    </row>
    <row r="90">
      <c r="A90" s="2" t="inlineStr">
        <is>
          <t>9366-1049 QI</t>
        </is>
      </c>
      <c r="B90" s="2" t="inlineStr">
        <is>
          <t>Marketing &amp; Entertainment</t>
        </is>
      </c>
      <c r="C90" s="2" t="inlineStr">
        <is>
          <t>FY2025</t>
        </is>
      </c>
      <c r="D90" s="2" t="n">
        <v>152125.33</v>
      </c>
    </row>
    <row r="91">
      <c r="A91" s="2" t="inlineStr">
        <is>
          <t>9366-1049 QI</t>
        </is>
      </c>
      <c r="B91" s="2" t="inlineStr">
        <is>
          <t>Repairs &amp; Maintenance</t>
        </is>
      </c>
      <c r="C91" s="2" t="inlineStr">
        <is>
          <t>FY2025</t>
        </is>
      </c>
      <c r="D91" s="2" t="n">
        <v>112954.41</v>
      </c>
    </row>
    <row r="92">
      <c r="A92" s="2" t="inlineStr">
        <is>
          <t>9366-1049 QI</t>
        </is>
      </c>
      <c r="B92" s="2" t="inlineStr">
        <is>
          <t>Amortization</t>
        </is>
      </c>
      <c r="C92" s="2" t="inlineStr">
        <is>
          <t>FY2025</t>
        </is>
      </c>
      <c r="D92" s="2" t="n">
        <v>115151</v>
      </c>
    </row>
    <row r="93">
      <c r="A93" s="2" t="inlineStr">
        <is>
          <t>9366-1049 QI</t>
        </is>
      </c>
      <c r="B93" s="2" t="inlineStr">
        <is>
          <t>Income Tax</t>
        </is>
      </c>
      <c r="C93" s="2" t="inlineStr">
        <is>
          <t>FY2025</t>
        </is>
      </c>
      <c r="D93" s="2" t="n">
        <v>55522</v>
      </c>
    </row>
    <row r="94">
      <c r="A94" s="2" t="inlineStr">
        <is>
          <t>9098-0558 QI</t>
        </is>
      </c>
      <c r="B94" s="2" t="inlineStr">
        <is>
          <t>Operating Revenue</t>
        </is>
      </c>
      <c r="C94" s="2" t="inlineStr">
        <is>
          <t>FY2025</t>
        </is>
      </c>
      <c r="D94" s="2" t="n">
        <v>-1606736.08</v>
      </c>
    </row>
    <row r="95">
      <c r="A95" s="2" t="inlineStr">
        <is>
          <t>9098-0558 QI</t>
        </is>
      </c>
      <c r="B95" s="2" t="inlineStr">
        <is>
          <t>COGS</t>
        </is>
      </c>
      <c r="C95" s="2" t="inlineStr">
        <is>
          <t>FY2025</t>
        </is>
      </c>
      <c r="D95" s="2" t="n">
        <v>532558.45</v>
      </c>
    </row>
    <row r="96">
      <c r="A96" s="2" t="inlineStr">
        <is>
          <t>9098-0558 QI</t>
        </is>
      </c>
      <c r="B96" s="2" t="inlineStr">
        <is>
          <t>Occupancy</t>
        </is>
      </c>
      <c r="C96" s="2" t="inlineStr">
        <is>
          <t>FY2025</t>
        </is>
      </c>
      <c r="D96" s="2" t="n">
        <v>123519.92</v>
      </c>
    </row>
    <row r="97">
      <c r="A97" s="2" t="inlineStr">
        <is>
          <t>9098-0558 QI</t>
        </is>
      </c>
      <c r="B97" s="2" t="inlineStr">
        <is>
          <t>Administrative</t>
        </is>
      </c>
      <c r="C97" s="2" t="inlineStr">
        <is>
          <t>FY2025</t>
        </is>
      </c>
      <c r="D97" s="2" t="n">
        <v>85380.3</v>
      </c>
    </row>
    <row r="98">
      <c r="A98" s="2" t="inlineStr">
        <is>
          <t>9098-0558 QI</t>
        </is>
      </c>
      <c r="B98" s="2" t="inlineStr">
        <is>
          <t>Repairs &amp; Maintenance</t>
        </is>
      </c>
      <c r="C98" s="2" t="inlineStr">
        <is>
          <t>FY2025</t>
        </is>
      </c>
      <c r="D98" s="2" t="n">
        <v>58086.76</v>
      </c>
    </row>
    <row r="99">
      <c r="A99" s="2" t="inlineStr">
        <is>
          <t>9098-0558 QI</t>
        </is>
      </c>
      <c r="B99" s="2" t="inlineStr">
        <is>
          <t>Other Operating</t>
        </is>
      </c>
      <c r="C99" s="2" t="inlineStr">
        <is>
          <t>FY2025</t>
        </is>
      </c>
      <c r="D99" s="2" t="n">
        <v>85997.69</v>
      </c>
    </row>
    <row r="100">
      <c r="A100" s="2" t="inlineStr">
        <is>
          <t>9098-0558 QI</t>
        </is>
      </c>
      <c r="B100" s="2" t="inlineStr">
        <is>
          <t>Payroll &amp; Benefits</t>
        </is>
      </c>
      <c r="C100" s="2" t="inlineStr">
        <is>
          <t>FY2025</t>
        </is>
      </c>
      <c r="D100" s="2" t="n">
        <v>371058.72</v>
      </c>
    </row>
    <row r="101">
      <c r="A101" s="2" t="inlineStr">
        <is>
          <t>9098-0558 QI</t>
        </is>
      </c>
      <c r="B101" s="2" t="inlineStr">
        <is>
          <t>Management Fees (Interco)</t>
        </is>
      </c>
      <c r="C101" s="2" t="inlineStr">
        <is>
          <t>FY2025</t>
        </is>
      </c>
      <c r="D101" s="2" t="n">
        <v>51872</v>
      </c>
    </row>
    <row r="102">
      <c r="A102" s="2" t="inlineStr">
        <is>
          <t>9098-0558 QI</t>
        </is>
      </c>
      <c r="B102" s="2" t="inlineStr">
        <is>
          <t>Interest &amp; Financing</t>
        </is>
      </c>
      <c r="C102" s="2" t="inlineStr">
        <is>
          <t>FY2025</t>
        </is>
      </c>
      <c r="D102" s="2" t="n">
        <v>35063.04</v>
      </c>
    </row>
    <row r="103">
      <c r="A103" s="2" t="inlineStr">
        <is>
          <t>9098-0558 QI</t>
        </is>
      </c>
      <c r="B103" s="2" t="inlineStr">
        <is>
          <t>Marketing &amp; Entertainment</t>
        </is>
      </c>
      <c r="C103" s="2" t="inlineStr">
        <is>
          <t>FY2025</t>
        </is>
      </c>
      <c r="D103" s="2" t="n">
        <v>267190.19</v>
      </c>
    </row>
    <row r="104">
      <c r="A104" s="2" t="inlineStr">
        <is>
          <t>9098-0558 QI</t>
        </is>
      </c>
      <c r="B104" s="2" t="inlineStr">
        <is>
          <t>Amortization</t>
        </is>
      </c>
      <c r="C104" s="2" t="inlineStr">
        <is>
          <t>FY2025</t>
        </is>
      </c>
      <c r="D104" s="2" t="n">
        <v>15416</v>
      </c>
    </row>
    <row r="105">
      <c r="A105" s="2" t="inlineStr">
        <is>
          <t>9098-0558 QI</t>
        </is>
      </c>
      <c r="B105" s="2" t="inlineStr">
        <is>
          <t>Income Tax</t>
        </is>
      </c>
      <c r="C105" s="2" t="inlineStr">
        <is>
          <t>FY2025</t>
        </is>
      </c>
      <c r="D105" s="2" t="n">
        <v>0</v>
      </c>
    </row>
    <row r="106">
      <c r="A106" s="2" t="inlineStr">
        <is>
          <t>9504-7510 QI</t>
        </is>
      </c>
      <c r="B106" s="2" t="inlineStr">
        <is>
          <t>Operating Revenue</t>
        </is>
      </c>
      <c r="C106" s="2" t="inlineStr">
        <is>
          <t>FY2025</t>
        </is>
      </c>
      <c r="D106" s="2" t="n">
        <v>-1276087.3</v>
      </c>
    </row>
    <row r="107">
      <c r="A107" s="2" t="inlineStr">
        <is>
          <t>9504-7510 QI</t>
        </is>
      </c>
      <c r="B107" s="2" t="inlineStr">
        <is>
          <t>Management Fees (Interco)</t>
        </is>
      </c>
      <c r="C107" s="2" t="inlineStr">
        <is>
          <t>FY2025</t>
        </is>
      </c>
      <c r="D107" s="2" t="n">
        <v>-36500</v>
      </c>
    </row>
    <row r="108">
      <c r="A108" s="2" t="inlineStr">
        <is>
          <t>9504-7510 QI</t>
        </is>
      </c>
      <c r="B108" s="2" t="inlineStr">
        <is>
          <t>COGS</t>
        </is>
      </c>
      <c r="C108" s="2" t="inlineStr">
        <is>
          <t>FY2025</t>
        </is>
      </c>
      <c r="D108" s="2" t="n">
        <v>457414.95</v>
      </c>
    </row>
    <row r="109">
      <c r="A109" s="2" t="inlineStr">
        <is>
          <t>9504-7510 QI</t>
        </is>
      </c>
      <c r="B109" s="2" t="inlineStr">
        <is>
          <t>Other Operating</t>
        </is>
      </c>
      <c r="C109" s="2" t="inlineStr">
        <is>
          <t>FY2025</t>
        </is>
      </c>
      <c r="D109" s="2" t="n">
        <v>29287.87</v>
      </c>
    </row>
    <row r="110">
      <c r="A110" s="2" t="inlineStr">
        <is>
          <t>9504-7510 QI</t>
        </is>
      </c>
      <c r="B110" s="2" t="inlineStr">
        <is>
          <t>Payroll &amp; Benefits</t>
        </is>
      </c>
      <c r="C110" s="2" t="inlineStr">
        <is>
          <t>FY2025</t>
        </is>
      </c>
      <c r="D110" s="2" t="n">
        <v>682935.3</v>
      </c>
    </row>
    <row r="111">
      <c r="A111" s="2" t="inlineStr">
        <is>
          <t>9504-7510 QI</t>
        </is>
      </c>
      <c r="B111" s="2" t="inlineStr">
        <is>
          <t>Administrative</t>
        </is>
      </c>
      <c r="C111" s="2" t="inlineStr">
        <is>
          <t>FY2025</t>
        </is>
      </c>
      <c r="D111" s="2" t="n">
        <v>119684.05</v>
      </c>
    </row>
    <row r="112">
      <c r="A112" s="2" t="inlineStr">
        <is>
          <t>9504-7510 QI</t>
        </is>
      </c>
      <c r="B112" s="2" t="inlineStr">
        <is>
          <t>Occupancy</t>
        </is>
      </c>
      <c r="C112" s="2" t="inlineStr">
        <is>
          <t>FY2025</t>
        </is>
      </c>
      <c r="D112" s="2" t="n">
        <v>70350.57000000001</v>
      </c>
    </row>
    <row r="113">
      <c r="A113" s="2" t="inlineStr">
        <is>
          <t>9504-7510 QI</t>
        </is>
      </c>
      <c r="B113" s="2" t="inlineStr">
        <is>
          <t>Interest &amp; Financing</t>
        </is>
      </c>
      <c r="C113" s="2" t="inlineStr">
        <is>
          <t>FY2025</t>
        </is>
      </c>
      <c r="D113" s="2" t="n">
        <v>34311.46</v>
      </c>
    </row>
    <row r="114">
      <c r="A114" s="2" t="inlineStr">
        <is>
          <t>9504-7510 QI</t>
        </is>
      </c>
      <c r="B114" s="2" t="inlineStr">
        <is>
          <t>Marketing &amp; Entertainment</t>
        </is>
      </c>
      <c r="C114" s="2" t="inlineStr">
        <is>
          <t>FY2025</t>
        </is>
      </c>
      <c r="D114" s="2" t="n">
        <v>88216.50999999999</v>
      </c>
    </row>
    <row r="115">
      <c r="A115" s="2" t="inlineStr">
        <is>
          <t>9504-7510 QI</t>
        </is>
      </c>
      <c r="B115" s="2" t="inlineStr">
        <is>
          <t>Repairs &amp; Maintenance</t>
        </is>
      </c>
      <c r="C115" s="2" t="inlineStr">
        <is>
          <t>FY2025</t>
        </is>
      </c>
      <c r="D115" s="2" t="n">
        <v>85236.12</v>
      </c>
    </row>
    <row r="116">
      <c r="A116" s="2" t="inlineStr">
        <is>
          <t>9504-7510 QI</t>
        </is>
      </c>
      <c r="B116" s="2" t="inlineStr">
        <is>
          <t>Amortization</t>
        </is>
      </c>
      <c r="C116" s="2" t="inlineStr">
        <is>
          <t>FY2025</t>
        </is>
      </c>
      <c r="D116" s="2" t="n">
        <v>75734</v>
      </c>
    </row>
    <row r="117">
      <c r="A117" s="2" t="inlineStr">
        <is>
          <t>2749-8567 QI</t>
        </is>
      </c>
      <c r="B117" s="2" t="inlineStr">
        <is>
          <t>Other Operating</t>
        </is>
      </c>
      <c r="C117" s="2" t="inlineStr">
        <is>
          <t>FY2025</t>
        </is>
      </c>
      <c r="D117" s="2" t="n">
        <v>-90757.8</v>
      </c>
    </row>
    <row r="118">
      <c r="A118" s="2" t="inlineStr">
        <is>
          <t>2749-8567 QI</t>
        </is>
      </c>
      <c r="B118" s="2" t="inlineStr">
        <is>
          <t>Administrative</t>
        </is>
      </c>
      <c r="C118" s="2" t="inlineStr">
        <is>
          <t>FY2025</t>
        </is>
      </c>
      <c r="D118" s="2" t="n">
        <v>7991.46</v>
      </c>
    </row>
    <row r="119">
      <c r="A119" s="2" t="inlineStr">
        <is>
          <t>2749-8567 QI</t>
        </is>
      </c>
      <c r="B119" s="2" t="inlineStr">
        <is>
          <t>Management Fees (Interco)</t>
        </is>
      </c>
      <c r="C119" s="2" t="inlineStr">
        <is>
          <t>FY2025</t>
        </is>
      </c>
      <c r="D119" s="2" t="n">
        <v>36000</v>
      </c>
    </row>
    <row r="120">
      <c r="A120" s="2" t="inlineStr">
        <is>
          <t>2749-8567 QI</t>
        </is>
      </c>
      <c r="B120" s="2" t="inlineStr">
        <is>
          <t>Interest &amp; Financing</t>
        </is>
      </c>
      <c r="C120" s="2" t="inlineStr">
        <is>
          <t>FY2025</t>
        </is>
      </c>
      <c r="D120" s="2" t="n">
        <v>461.73</v>
      </c>
    </row>
    <row r="121">
      <c r="A121" s="2" t="inlineStr">
        <is>
          <t>2749-8567 QI</t>
        </is>
      </c>
      <c r="B121" s="2" t="inlineStr">
        <is>
          <t>Repairs &amp; Maintenance</t>
        </is>
      </c>
      <c r="C121" s="2" t="inlineStr">
        <is>
          <t>FY2025</t>
        </is>
      </c>
      <c r="D121" s="2" t="n">
        <v>194.47</v>
      </c>
    </row>
    <row r="122">
      <c r="A122" s="2" t="inlineStr">
        <is>
          <t>2749-8567 QI</t>
        </is>
      </c>
      <c r="B122" s="2" t="inlineStr">
        <is>
          <t>Amortization</t>
        </is>
      </c>
      <c r="C122" s="2" t="inlineStr">
        <is>
          <t>FY2025</t>
        </is>
      </c>
      <c r="D122" s="2" t="n">
        <v>20030</v>
      </c>
    </row>
    <row r="123">
      <c r="A123" s="2" t="inlineStr">
        <is>
          <t>2749-8567 QI</t>
        </is>
      </c>
      <c r="B123" s="2" t="inlineStr">
        <is>
          <t>Income Tax</t>
        </is>
      </c>
      <c r="C123" s="2" t="inlineStr">
        <is>
          <t>FY2025</t>
        </is>
      </c>
      <c r="D123" s="2" t="n">
        <v>4196</v>
      </c>
    </row>
    <row r="124">
      <c r="A124" s="2" t="inlineStr">
        <is>
          <t>N/A</t>
        </is>
      </c>
      <c r="B124" s="2" t="inlineStr">
        <is>
          <t>Operating Revenue</t>
        </is>
      </c>
      <c r="C124" s="2" t="inlineStr">
        <is>
          <t>FY2025</t>
        </is>
      </c>
      <c r="D124" s="2" t="n">
        <v>-72000</v>
      </c>
    </row>
    <row r="125">
      <c r="A125" s="2" t="inlineStr">
        <is>
          <t>N/A</t>
        </is>
      </c>
      <c r="B125" s="2" t="inlineStr">
        <is>
          <t>Administrative</t>
        </is>
      </c>
      <c r="C125" s="2" t="inlineStr">
        <is>
          <t>FY2025</t>
        </is>
      </c>
      <c r="D125" s="2" t="n">
        <v>74011.82000000001</v>
      </c>
    </row>
    <row r="126">
      <c r="A126" s="2" t="inlineStr">
        <is>
          <t>N/A</t>
        </is>
      </c>
      <c r="B126" s="2" t="inlineStr">
        <is>
          <t>Interest &amp; Financing</t>
        </is>
      </c>
      <c r="C126" s="2" t="inlineStr">
        <is>
          <t>FY2025</t>
        </is>
      </c>
      <c r="D126" s="2" t="n">
        <v>3002.35</v>
      </c>
    </row>
    <row r="127">
      <c r="A127" s="2" t="inlineStr">
        <is>
          <t>N/A</t>
        </is>
      </c>
      <c r="B127" s="2" t="inlineStr">
        <is>
          <t>Amortization</t>
        </is>
      </c>
      <c r="C127" s="2" t="inlineStr">
        <is>
          <t>FY2025</t>
        </is>
      </c>
      <c r="D127" s="2" t="n">
        <v>10807</v>
      </c>
    </row>
    <row r="128">
      <c r="A128" s="2" t="inlineStr">
        <is>
          <t>N/A</t>
        </is>
      </c>
      <c r="B128" s="2" t="inlineStr">
        <is>
          <t>Interest &amp; Financing</t>
        </is>
      </c>
      <c r="C128" s="2" t="inlineStr">
        <is>
          <t>FY2025</t>
        </is>
      </c>
      <c r="D128" s="2" t="n">
        <v>10</v>
      </c>
    </row>
    <row r="129">
      <c r="A129" s="2" t="inlineStr">
        <is>
          <t>N/A</t>
        </is>
      </c>
      <c r="B129" s="2" t="inlineStr">
        <is>
          <t>Interest &amp; Financing</t>
        </is>
      </c>
      <c r="C129" s="2" t="inlineStr">
        <is>
          <t>FY2025</t>
        </is>
      </c>
      <c r="D129" s="2" t="n">
        <v>4</v>
      </c>
    </row>
    <row r="130">
      <c r="A130" s="2" t="inlineStr">
        <is>
          <t>9357-7427 QI</t>
        </is>
      </c>
      <c r="B130" s="2" t="inlineStr">
        <is>
          <t>Payroll &amp; Benefits</t>
        </is>
      </c>
      <c r="C130" s="2" t="inlineStr">
        <is>
          <t>FY2024</t>
        </is>
      </c>
      <c r="D130" s="2" t="n">
        <v>358.94</v>
      </c>
    </row>
    <row r="131">
      <c r="A131" s="2" t="inlineStr">
        <is>
          <t>9357-7427 QI</t>
        </is>
      </c>
      <c r="B131" s="2" t="inlineStr">
        <is>
          <t>Administrative</t>
        </is>
      </c>
      <c r="C131" s="2" t="inlineStr">
        <is>
          <t>FY2024</t>
        </is>
      </c>
      <c r="D131" s="2" t="n">
        <v>2329</v>
      </c>
    </row>
    <row r="132">
      <c r="A132" s="2" t="inlineStr">
        <is>
          <t>9357-7427 QI</t>
        </is>
      </c>
      <c r="B132" s="2" t="inlineStr">
        <is>
          <t>Interest &amp; Financing</t>
        </is>
      </c>
      <c r="C132" s="2" t="inlineStr">
        <is>
          <t>FY2024</t>
        </is>
      </c>
      <c r="D132" s="2" t="n">
        <v>47.81</v>
      </c>
    </row>
    <row r="133">
      <c r="A133" s="2" t="inlineStr">
        <is>
          <t>9366-1676 QI</t>
        </is>
      </c>
      <c r="B133" s="2" t="inlineStr">
        <is>
          <t>Operating Revenue</t>
        </is>
      </c>
      <c r="C133" s="2" t="inlineStr">
        <is>
          <t>FY2024</t>
        </is>
      </c>
      <c r="D133" s="2" t="n">
        <v>-188197.75</v>
      </c>
    </row>
    <row r="134">
      <c r="A134" s="2" t="inlineStr">
        <is>
          <t>9366-1676 QI</t>
        </is>
      </c>
      <c r="B134" s="2" t="inlineStr">
        <is>
          <t>Administrative</t>
        </is>
      </c>
      <c r="C134" s="2" t="inlineStr">
        <is>
          <t>FY2024</t>
        </is>
      </c>
      <c r="D134" s="2" t="n">
        <v>152117.58</v>
      </c>
    </row>
    <row r="135">
      <c r="A135" s="2" t="inlineStr">
        <is>
          <t>9366-1676 QI</t>
        </is>
      </c>
      <c r="B135" s="2" t="inlineStr">
        <is>
          <t>Occupancy</t>
        </is>
      </c>
      <c r="C135" s="2" t="inlineStr">
        <is>
          <t>FY2024</t>
        </is>
      </c>
      <c r="D135" s="2" t="n">
        <v>16431.97</v>
      </c>
    </row>
    <row r="136">
      <c r="A136" s="2" t="inlineStr">
        <is>
          <t>9366-1676 QI</t>
        </is>
      </c>
      <c r="B136" s="2" t="inlineStr">
        <is>
          <t>Interest &amp; Financing</t>
        </is>
      </c>
      <c r="C136" s="2" t="inlineStr">
        <is>
          <t>FY2024</t>
        </is>
      </c>
      <c r="D136" s="2" t="n">
        <v>219534.62</v>
      </c>
    </row>
    <row r="137">
      <c r="A137" s="2" t="inlineStr">
        <is>
          <t>9366-1676 QI</t>
        </is>
      </c>
      <c r="B137" s="2" t="inlineStr">
        <is>
          <t>Repairs &amp; Maintenance</t>
        </is>
      </c>
      <c r="C137" s="2" t="inlineStr">
        <is>
          <t>FY2024</t>
        </is>
      </c>
      <c r="D137" s="2" t="n">
        <v>0</v>
      </c>
    </row>
    <row r="138">
      <c r="A138" s="2" t="inlineStr">
        <is>
          <t>9366-1676 QI</t>
        </is>
      </c>
      <c r="B138" s="2" t="inlineStr">
        <is>
          <t>Amortization</t>
        </is>
      </c>
      <c r="C138" s="2" t="inlineStr">
        <is>
          <t>FY2024</t>
        </is>
      </c>
      <c r="D138" s="2" t="n">
        <v>94472</v>
      </c>
    </row>
    <row r="139">
      <c r="A139" s="2" t="inlineStr">
        <is>
          <t>9425-4547 QI</t>
        </is>
      </c>
      <c r="B139" s="2" t="inlineStr">
        <is>
          <t>Operating Revenue</t>
        </is>
      </c>
      <c r="C139" s="2" t="inlineStr">
        <is>
          <t>FY2024</t>
        </is>
      </c>
      <c r="D139" s="2" t="n">
        <v>-247975</v>
      </c>
    </row>
    <row r="140">
      <c r="A140" s="2" t="inlineStr">
        <is>
          <t>9425-4547 QI</t>
        </is>
      </c>
      <c r="B140" s="2" t="inlineStr">
        <is>
          <t>Investment &amp; Other Income</t>
        </is>
      </c>
      <c r="C140" s="2" t="inlineStr">
        <is>
          <t>FY2024</t>
        </is>
      </c>
      <c r="D140" s="2" t="n">
        <v>-62108.84</v>
      </c>
    </row>
    <row r="141">
      <c r="A141" s="2" t="inlineStr">
        <is>
          <t>9425-4547 QI</t>
        </is>
      </c>
      <c r="B141" s="2" t="inlineStr">
        <is>
          <t>Administrative</t>
        </is>
      </c>
      <c r="C141" s="2" t="inlineStr">
        <is>
          <t>FY2024</t>
        </is>
      </c>
      <c r="D141" s="2" t="n">
        <v>84635.60000000001</v>
      </c>
    </row>
    <row r="142">
      <c r="A142" s="2" t="inlineStr">
        <is>
          <t>9425-4547 QI</t>
        </is>
      </c>
      <c r="B142" s="2" t="inlineStr">
        <is>
          <t>Occupancy</t>
        </is>
      </c>
      <c r="C142" s="2" t="inlineStr">
        <is>
          <t>FY2024</t>
        </is>
      </c>
      <c r="D142" s="2" t="n">
        <v>6455.93</v>
      </c>
    </row>
    <row r="143">
      <c r="A143" s="2" t="inlineStr">
        <is>
          <t>9425-4547 QI</t>
        </is>
      </c>
      <c r="B143" s="2" t="inlineStr">
        <is>
          <t>Interest &amp; Financing</t>
        </is>
      </c>
      <c r="C143" s="2" t="inlineStr">
        <is>
          <t>FY2024</t>
        </is>
      </c>
      <c r="D143" s="2" t="n">
        <v>108814.51</v>
      </c>
    </row>
    <row r="144">
      <c r="A144" s="2" t="inlineStr">
        <is>
          <t>9425-4547 QI</t>
        </is>
      </c>
      <c r="B144" s="2" t="inlineStr">
        <is>
          <t>Amortization</t>
        </is>
      </c>
      <c r="C144" s="2" t="inlineStr">
        <is>
          <t>FY2024</t>
        </is>
      </c>
      <c r="D144" s="2" t="n">
        <v>15473</v>
      </c>
    </row>
    <row r="145">
      <c r="A145" s="2" t="inlineStr">
        <is>
          <t>9425-4547 QI</t>
        </is>
      </c>
      <c r="B145" s="2" t="inlineStr">
        <is>
          <t>Income Tax</t>
        </is>
      </c>
      <c r="C145" s="2" t="inlineStr">
        <is>
          <t>FY2024</t>
        </is>
      </c>
      <c r="D145" s="2" t="n">
        <v>13363</v>
      </c>
    </row>
    <row r="146">
      <c r="A146" s="2" t="inlineStr">
        <is>
          <t>9455-4177 QI</t>
        </is>
      </c>
      <c r="B146" s="2" t="inlineStr">
        <is>
          <t>Administrative</t>
        </is>
      </c>
      <c r="C146" s="2" t="inlineStr">
        <is>
          <t>FY2024</t>
        </is>
      </c>
      <c r="D146" s="2" t="n">
        <v>2797</v>
      </c>
    </row>
    <row r="147">
      <c r="A147" s="2" t="inlineStr">
        <is>
          <t>9455-4177 QI</t>
        </is>
      </c>
      <c r="B147" s="2" t="inlineStr">
        <is>
          <t>Interest &amp; Financing</t>
        </is>
      </c>
      <c r="C147" s="2" t="inlineStr">
        <is>
          <t>FY2024</t>
        </is>
      </c>
      <c r="D147" s="2" t="n">
        <v>148.11</v>
      </c>
    </row>
    <row r="148">
      <c r="A148" s="2" t="inlineStr">
        <is>
          <t>9455-4169 QI</t>
        </is>
      </c>
      <c r="B148" s="2" t="inlineStr">
        <is>
          <t>Administrative</t>
        </is>
      </c>
      <c r="C148" s="2" t="inlineStr">
        <is>
          <t>FY2024</t>
        </is>
      </c>
      <c r="D148" s="2" t="n">
        <v>3085</v>
      </c>
    </row>
    <row r="149">
      <c r="A149" s="2" t="inlineStr">
        <is>
          <t>9455-4169 QI</t>
        </is>
      </c>
      <c r="B149" s="2" t="inlineStr">
        <is>
          <t>Interest &amp; Financing</t>
        </is>
      </c>
      <c r="C149" s="2" t="inlineStr">
        <is>
          <t>FY2024</t>
        </is>
      </c>
      <c r="D149" s="2" t="n">
        <v>163.14</v>
      </c>
    </row>
    <row r="150">
      <c r="A150" s="2" t="inlineStr">
        <is>
          <t>9455-4201 QI</t>
        </is>
      </c>
      <c r="B150" s="2" t="inlineStr">
        <is>
          <t>Investment &amp; Other Income</t>
        </is>
      </c>
      <c r="C150" s="2" t="inlineStr">
        <is>
          <t>FY2024</t>
        </is>
      </c>
      <c r="D150" s="2" t="n">
        <v>-1569420.99</v>
      </c>
    </row>
    <row r="151">
      <c r="A151" s="2" t="inlineStr">
        <is>
          <t>9455-4201 QI</t>
        </is>
      </c>
      <c r="B151" s="2" t="inlineStr">
        <is>
          <t>Administrative</t>
        </is>
      </c>
      <c r="C151" s="2" t="inlineStr">
        <is>
          <t>FY2024</t>
        </is>
      </c>
      <c r="D151" s="2" t="n">
        <v>2956</v>
      </c>
    </row>
    <row r="152">
      <c r="A152" s="2" t="inlineStr">
        <is>
          <t>9455-4201 QI</t>
        </is>
      </c>
      <c r="B152" s="2" t="inlineStr">
        <is>
          <t>Interest &amp; Financing</t>
        </is>
      </c>
      <c r="C152" s="2" t="inlineStr">
        <is>
          <t>FY2024</t>
        </is>
      </c>
      <c r="D152" s="2" t="n">
        <v>79366.3</v>
      </c>
    </row>
    <row r="153">
      <c r="A153" s="2" t="inlineStr">
        <is>
          <t>9108-6876 QI</t>
        </is>
      </c>
      <c r="B153" s="2" t="inlineStr">
        <is>
          <t>Operating Revenue</t>
        </is>
      </c>
      <c r="C153" s="2" t="inlineStr">
        <is>
          <t>FY2024</t>
        </is>
      </c>
      <c r="D153" s="2" t="n">
        <v>-2123731.69</v>
      </c>
    </row>
    <row r="154">
      <c r="A154" s="2" t="inlineStr">
        <is>
          <t>9108-6876 QI</t>
        </is>
      </c>
      <c r="B154" s="2" t="inlineStr">
        <is>
          <t>Payroll &amp; Benefits</t>
        </is>
      </c>
      <c r="C154" s="2" t="inlineStr">
        <is>
          <t>FY2024</t>
        </is>
      </c>
      <c r="D154" s="2" t="n">
        <v>528052.08</v>
      </c>
    </row>
    <row r="155">
      <c r="A155" s="2" t="inlineStr">
        <is>
          <t>9108-6876 QI</t>
        </is>
      </c>
      <c r="B155" s="2" t="inlineStr">
        <is>
          <t>Administrative</t>
        </is>
      </c>
      <c r="C155" s="2" t="inlineStr">
        <is>
          <t>FY2024</t>
        </is>
      </c>
      <c r="D155" s="2" t="n">
        <v>146015.91</v>
      </c>
    </row>
    <row r="156">
      <c r="A156" s="2" t="inlineStr">
        <is>
          <t>9108-6876 QI</t>
        </is>
      </c>
      <c r="B156" s="2" t="inlineStr">
        <is>
          <t>Management Fees (Interco)</t>
        </is>
      </c>
      <c r="C156" s="2" t="inlineStr">
        <is>
          <t>FY2024</t>
        </is>
      </c>
      <c r="D156" s="2" t="n">
        <v>398.98</v>
      </c>
    </row>
    <row r="157">
      <c r="A157" s="2" t="inlineStr">
        <is>
          <t>9108-6876 QI</t>
        </is>
      </c>
      <c r="B157" s="2" t="inlineStr">
        <is>
          <t>Occupancy</t>
        </is>
      </c>
      <c r="C157" s="2" t="inlineStr">
        <is>
          <t>FY2024</t>
        </is>
      </c>
      <c r="D157" s="2" t="n">
        <v>262708.89</v>
      </c>
    </row>
    <row r="158">
      <c r="A158" s="2" t="inlineStr">
        <is>
          <t>9108-6876 QI</t>
        </is>
      </c>
      <c r="B158" s="2" t="inlineStr">
        <is>
          <t>Other Operating</t>
        </is>
      </c>
      <c r="C158" s="2" t="inlineStr">
        <is>
          <t>FY2024</t>
        </is>
      </c>
      <c r="D158" s="2" t="n">
        <v>93057.11</v>
      </c>
    </row>
    <row r="159">
      <c r="A159" s="2" t="inlineStr">
        <is>
          <t>9108-6876 QI</t>
        </is>
      </c>
      <c r="B159" s="2" t="inlineStr">
        <is>
          <t>Interest &amp; Financing</t>
        </is>
      </c>
      <c r="C159" s="2" t="inlineStr">
        <is>
          <t>FY2024</t>
        </is>
      </c>
      <c r="D159" s="2" t="n">
        <v>95218.77</v>
      </c>
    </row>
    <row r="160">
      <c r="A160" s="2" t="inlineStr">
        <is>
          <t>9108-6876 QI</t>
        </is>
      </c>
      <c r="B160" s="2" t="inlineStr">
        <is>
          <t>Marketing &amp; Entertainment</t>
        </is>
      </c>
      <c r="C160" s="2" t="inlineStr">
        <is>
          <t>FY2024</t>
        </is>
      </c>
      <c r="D160" s="2" t="n">
        <v>263448.71</v>
      </c>
    </row>
    <row r="161">
      <c r="A161" s="2" t="inlineStr">
        <is>
          <t>9108-6876 QI</t>
        </is>
      </c>
      <c r="B161" s="2" t="inlineStr">
        <is>
          <t>Repairs &amp; Maintenance</t>
        </is>
      </c>
      <c r="C161" s="2" t="inlineStr">
        <is>
          <t>FY2024</t>
        </is>
      </c>
      <c r="D161" s="2" t="n">
        <v>259227.76</v>
      </c>
    </row>
    <row r="162">
      <c r="A162" s="2" t="inlineStr">
        <is>
          <t>9108-6876 QI</t>
        </is>
      </c>
      <c r="B162" s="2" t="inlineStr">
        <is>
          <t>Amortization</t>
        </is>
      </c>
      <c r="C162" s="2" t="inlineStr">
        <is>
          <t>FY2024</t>
        </is>
      </c>
      <c r="D162" s="2" t="n">
        <v>195095</v>
      </c>
    </row>
    <row r="163">
      <c r="A163" s="2" t="inlineStr">
        <is>
          <t>9108-6876 QI</t>
        </is>
      </c>
      <c r="B163" s="2" t="inlineStr">
        <is>
          <t>COGS</t>
        </is>
      </c>
      <c r="C163" s="2" t="inlineStr">
        <is>
          <t>FY2024</t>
        </is>
      </c>
      <c r="D163" s="2" t="n">
        <v>116416.16</v>
      </c>
    </row>
    <row r="164">
      <c r="A164" s="2" t="inlineStr">
        <is>
          <t>9108-6876 QI</t>
        </is>
      </c>
      <c r="B164" s="2" t="inlineStr">
        <is>
          <t>Income Tax</t>
        </is>
      </c>
      <c r="C164" s="2" t="inlineStr">
        <is>
          <t>FY2024</t>
        </is>
      </c>
      <c r="D164" s="2" t="n">
        <v>0</v>
      </c>
    </row>
    <row r="165">
      <c r="A165" s="2" t="inlineStr">
        <is>
          <t>N/A</t>
        </is>
      </c>
      <c r="B165" s="2" t="inlineStr">
        <is>
          <t>Operating Revenue</t>
        </is>
      </c>
      <c r="C165" s="2" t="inlineStr">
        <is>
          <t>FY2024</t>
        </is>
      </c>
      <c r="D165" s="2" t="n">
        <v>0</v>
      </c>
    </row>
    <row r="166">
      <c r="A166" s="2" t="inlineStr">
        <is>
          <t>N/A</t>
        </is>
      </c>
      <c r="B166" s="2" t="inlineStr">
        <is>
          <t>Management Fees (Interco)</t>
        </is>
      </c>
      <c r="C166" s="2" t="inlineStr">
        <is>
          <t>FY2024</t>
        </is>
      </c>
      <c r="D166" s="2" t="n">
        <v>-25000</v>
      </c>
    </row>
    <row r="167">
      <c r="A167" s="2" t="inlineStr">
        <is>
          <t>N/A</t>
        </is>
      </c>
      <c r="B167" s="2" t="inlineStr">
        <is>
          <t>COGS</t>
        </is>
      </c>
      <c r="C167" s="2" t="inlineStr">
        <is>
          <t>FY2024</t>
        </is>
      </c>
      <c r="D167" s="2" t="n">
        <v>0</v>
      </c>
    </row>
    <row r="168">
      <c r="A168" s="2" t="inlineStr">
        <is>
          <t>N/A</t>
        </is>
      </c>
      <c r="B168" s="2" t="inlineStr">
        <is>
          <t>Other Operating</t>
        </is>
      </c>
      <c r="C168" s="2" t="inlineStr">
        <is>
          <t>FY2024</t>
        </is>
      </c>
      <c r="D168" s="2" t="n">
        <v>0</v>
      </c>
    </row>
    <row r="169">
      <c r="A169" s="2" t="inlineStr">
        <is>
          <t>N/A</t>
        </is>
      </c>
      <c r="B169" s="2" t="inlineStr">
        <is>
          <t>Payroll &amp; Benefits</t>
        </is>
      </c>
      <c r="C169" s="2" t="inlineStr">
        <is>
          <t>FY2024</t>
        </is>
      </c>
      <c r="D169" s="2" t="n">
        <v>0</v>
      </c>
    </row>
    <row r="170">
      <c r="A170" s="2" t="inlineStr">
        <is>
          <t>N/A</t>
        </is>
      </c>
      <c r="B170" s="2" t="inlineStr">
        <is>
          <t>Administrative</t>
        </is>
      </c>
      <c r="C170" s="2" t="inlineStr">
        <is>
          <t>FY2024</t>
        </is>
      </c>
      <c r="D170" s="2" t="n">
        <v>11691.11</v>
      </c>
    </row>
    <row r="171">
      <c r="A171" s="2" t="inlineStr">
        <is>
          <t>N/A</t>
        </is>
      </c>
      <c r="B171" s="2" t="inlineStr">
        <is>
          <t>Occupancy</t>
        </is>
      </c>
      <c r="C171" s="2" t="inlineStr">
        <is>
          <t>FY2024</t>
        </is>
      </c>
      <c r="D171" s="2" t="n">
        <v>2978.98</v>
      </c>
    </row>
    <row r="172">
      <c r="A172" s="2" t="inlineStr">
        <is>
          <t>N/A</t>
        </is>
      </c>
      <c r="B172" s="2" t="inlineStr">
        <is>
          <t>Marketing &amp; Entertainment</t>
        </is>
      </c>
      <c r="C172" s="2" t="inlineStr">
        <is>
          <t>FY2024</t>
        </is>
      </c>
      <c r="D172" s="2" t="n">
        <v>31.2</v>
      </c>
    </row>
    <row r="173">
      <c r="A173" s="2" t="inlineStr">
        <is>
          <t>N/A</t>
        </is>
      </c>
      <c r="B173" s="2" t="inlineStr">
        <is>
          <t>Repairs &amp; Maintenance</t>
        </is>
      </c>
      <c r="C173" s="2" t="inlineStr">
        <is>
          <t>FY2024</t>
        </is>
      </c>
      <c r="D173" s="2" t="n">
        <v>1405.28</v>
      </c>
    </row>
    <row r="174">
      <c r="A174" s="2" t="inlineStr">
        <is>
          <t>N/A</t>
        </is>
      </c>
      <c r="B174" s="2" t="inlineStr">
        <is>
          <t>Amortization</t>
        </is>
      </c>
      <c r="C174" s="2" t="inlineStr">
        <is>
          <t>FY2024</t>
        </is>
      </c>
      <c r="D174" s="2" t="n">
        <v>0</v>
      </c>
    </row>
    <row r="175">
      <c r="A175" s="2" t="inlineStr">
        <is>
          <t>N/A</t>
        </is>
      </c>
      <c r="B175" s="2" t="inlineStr">
        <is>
          <t>Interest &amp; Financing</t>
        </is>
      </c>
      <c r="C175" s="2" t="inlineStr">
        <is>
          <t>FY2024</t>
        </is>
      </c>
      <c r="D175" s="2" t="n">
        <v>353.66</v>
      </c>
    </row>
    <row r="176">
      <c r="A176" s="2" t="inlineStr">
        <is>
          <t>9096-0436 QI</t>
        </is>
      </c>
      <c r="B176" s="2" t="inlineStr">
        <is>
          <t>Operating Revenue</t>
        </is>
      </c>
      <c r="C176" s="2" t="inlineStr">
        <is>
          <t>FY2024</t>
        </is>
      </c>
      <c r="D176" s="2" t="n">
        <v>-252814.41</v>
      </c>
    </row>
    <row r="177">
      <c r="A177" s="2" t="inlineStr">
        <is>
          <t>9096-0436 QI</t>
        </is>
      </c>
      <c r="B177" s="2" t="inlineStr">
        <is>
          <t>COGS</t>
        </is>
      </c>
      <c r="C177" s="2" t="inlineStr">
        <is>
          <t>FY2024</t>
        </is>
      </c>
      <c r="D177" s="2" t="n">
        <v>42360.83</v>
      </c>
    </row>
    <row r="178">
      <c r="A178" s="2" t="inlineStr">
        <is>
          <t>9096-0436 QI</t>
        </is>
      </c>
      <c r="B178" s="2" t="inlineStr">
        <is>
          <t>Other Operating</t>
        </is>
      </c>
      <c r="C178" s="2" t="inlineStr">
        <is>
          <t>FY2024</t>
        </is>
      </c>
      <c r="D178" s="2" t="n">
        <v>25803.7</v>
      </c>
    </row>
    <row r="179">
      <c r="A179" s="2" t="inlineStr">
        <is>
          <t>9096-0436 QI</t>
        </is>
      </c>
      <c r="B179" s="2" t="inlineStr">
        <is>
          <t>Payroll &amp; Benefits</t>
        </is>
      </c>
      <c r="C179" s="2" t="inlineStr">
        <is>
          <t>FY2024</t>
        </is>
      </c>
      <c r="D179" s="2" t="n">
        <v>94213.14999999999</v>
      </c>
    </row>
    <row r="180">
      <c r="A180" s="2" t="inlineStr">
        <is>
          <t>9096-0436 QI</t>
        </is>
      </c>
      <c r="B180" s="2" t="inlineStr">
        <is>
          <t>Administrative</t>
        </is>
      </c>
      <c r="C180" s="2" t="inlineStr">
        <is>
          <t>FY2024</t>
        </is>
      </c>
      <c r="D180" s="2" t="n">
        <v>39485.9</v>
      </c>
    </row>
    <row r="181">
      <c r="A181" s="2" t="inlineStr">
        <is>
          <t>9096-0436 QI</t>
        </is>
      </c>
      <c r="B181" s="2" t="inlineStr">
        <is>
          <t>Occupancy</t>
        </is>
      </c>
      <c r="C181" s="2" t="inlineStr">
        <is>
          <t>FY2024</t>
        </is>
      </c>
      <c r="D181" s="2" t="n">
        <v>84280.23</v>
      </c>
    </row>
    <row r="182">
      <c r="A182" s="2" t="inlineStr">
        <is>
          <t>9096-0436 QI</t>
        </is>
      </c>
      <c r="B182" s="2" t="inlineStr">
        <is>
          <t>Interest &amp; Financing</t>
        </is>
      </c>
      <c r="C182" s="2" t="inlineStr">
        <is>
          <t>FY2024</t>
        </is>
      </c>
      <c r="D182" s="2" t="n">
        <v>7661.21</v>
      </c>
    </row>
    <row r="183">
      <c r="A183" s="2" t="inlineStr">
        <is>
          <t>9096-0436 QI</t>
        </is>
      </c>
      <c r="B183" s="2" t="inlineStr">
        <is>
          <t>Marketing &amp; Entertainment</t>
        </is>
      </c>
      <c r="C183" s="2" t="inlineStr">
        <is>
          <t>FY2024</t>
        </is>
      </c>
      <c r="D183" s="2" t="n">
        <v>34771.91</v>
      </c>
    </row>
    <row r="184">
      <c r="A184" s="2" t="inlineStr">
        <is>
          <t>9096-0436 QI</t>
        </is>
      </c>
      <c r="B184" s="2" t="inlineStr">
        <is>
          <t>Repairs &amp; Maintenance</t>
        </is>
      </c>
      <c r="C184" s="2" t="inlineStr">
        <is>
          <t>FY2024</t>
        </is>
      </c>
      <c r="D184" s="2" t="n">
        <v>15237.12</v>
      </c>
    </row>
    <row r="185">
      <c r="A185" s="2" t="inlineStr">
        <is>
          <t>9096-0436 QI</t>
        </is>
      </c>
      <c r="B185" s="2" t="inlineStr">
        <is>
          <t>Amortization</t>
        </is>
      </c>
      <c r="C185" s="2" t="inlineStr">
        <is>
          <t>FY2024</t>
        </is>
      </c>
      <c r="D185" s="2" t="n">
        <v>3214</v>
      </c>
    </row>
    <row r="186">
      <c r="A186" s="2" t="inlineStr">
        <is>
          <t>9096-0436 QI</t>
        </is>
      </c>
      <c r="B186" s="2" t="inlineStr">
        <is>
          <t>Management Fees (Interco)</t>
        </is>
      </c>
      <c r="C186" s="2" t="inlineStr">
        <is>
          <t>FY2024</t>
        </is>
      </c>
      <c r="D186" s="2" t="n">
        <v>-105000</v>
      </c>
    </row>
    <row r="187">
      <c r="A187" s="2" t="inlineStr">
        <is>
          <t>9096-0436 QI</t>
        </is>
      </c>
      <c r="B187" s="2" t="inlineStr">
        <is>
          <t>Income Tax</t>
        </is>
      </c>
      <c r="C187" s="2" t="inlineStr">
        <is>
          <t>FY2024</t>
        </is>
      </c>
      <c r="D187" s="2" t="n">
        <v>1145</v>
      </c>
    </row>
    <row r="188">
      <c r="A188" s="2" t="inlineStr">
        <is>
          <t>9455-8236 QI</t>
        </is>
      </c>
      <c r="B188" s="2" t="inlineStr">
        <is>
          <t>Operating Revenue</t>
        </is>
      </c>
      <c r="C188" s="2" t="inlineStr">
        <is>
          <t>FY2024</t>
        </is>
      </c>
      <c r="D188" s="2" t="n">
        <v>-6233247.68</v>
      </c>
    </row>
    <row r="189">
      <c r="A189" s="2" t="inlineStr">
        <is>
          <t>9455-8236 QI</t>
        </is>
      </c>
      <c r="B189" s="2" t="inlineStr">
        <is>
          <t>COGS</t>
        </is>
      </c>
      <c r="C189" s="2" t="inlineStr">
        <is>
          <t>FY2024</t>
        </is>
      </c>
      <c r="D189" s="2" t="n">
        <v>1888352.46</v>
      </c>
    </row>
    <row r="190">
      <c r="A190" s="2" t="inlineStr">
        <is>
          <t>9455-8236 QI</t>
        </is>
      </c>
      <c r="B190" s="2" t="inlineStr">
        <is>
          <t>Other Operating</t>
        </is>
      </c>
      <c r="C190" s="2" t="inlineStr">
        <is>
          <t>FY2024</t>
        </is>
      </c>
      <c r="D190" s="2" t="n">
        <v>56055.04</v>
      </c>
    </row>
    <row r="191">
      <c r="A191" s="2" t="inlineStr">
        <is>
          <t>9455-8236 QI</t>
        </is>
      </c>
      <c r="B191" s="2" t="inlineStr">
        <is>
          <t>Payroll &amp; Benefits</t>
        </is>
      </c>
      <c r="C191" s="2" t="inlineStr">
        <is>
          <t>FY2024</t>
        </is>
      </c>
      <c r="D191" s="2" t="n">
        <v>2181636.69</v>
      </c>
    </row>
    <row r="192">
      <c r="A192" s="2" t="inlineStr">
        <is>
          <t>9455-8236 QI</t>
        </is>
      </c>
      <c r="B192" s="2" t="inlineStr">
        <is>
          <t>Administrative</t>
        </is>
      </c>
      <c r="C192" s="2" t="inlineStr">
        <is>
          <t>FY2024</t>
        </is>
      </c>
      <c r="D192" s="2" t="n">
        <v>105614.28</v>
      </c>
    </row>
    <row r="193">
      <c r="A193" s="2" t="inlineStr">
        <is>
          <t>9455-8236 QI</t>
        </is>
      </c>
      <c r="B193" s="2" t="inlineStr">
        <is>
          <t>Management Fees (Interco)</t>
        </is>
      </c>
      <c r="C193" s="2" t="inlineStr">
        <is>
          <t>FY2024</t>
        </is>
      </c>
      <c r="D193" s="2" t="n">
        <v>105000</v>
      </c>
    </row>
    <row r="194">
      <c r="A194" s="2" t="inlineStr">
        <is>
          <t>9455-8236 QI</t>
        </is>
      </c>
      <c r="B194" s="2" t="inlineStr">
        <is>
          <t>Occupancy</t>
        </is>
      </c>
      <c r="C194" s="2" t="inlineStr">
        <is>
          <t>FY2024</t>
        </is>
      </c>
      <c r="D194" s="2" t="n">
        <v>382549.29</v>
      </c>
    </row>
    <row r="195">
      <c r="A195" s="2" t="inlineStr">
        <is>
          <t>9455-8236 QI</t>
        </is>
      </c>
      <c r="B195" s="2" t="inlineStr">
        <is>
          <t>Interest &amp; Financing</t>
        </is>
      </c>
      <c r="C195" s="2" t="inlineStr">
        <is>
          <t>FY2024</t>
        </is>
      </c>
      <c r="D195" s="2" t="n">
        <v>178561.41</v>
      </c>
    </row>
    <row r="196">
      <c r="A196" s="2" t="inlineStr">
        <is>
          <t>9455-8236 QI</t>
        </is>
      </c>
      <c r="B196" s="2" t="inlineStr">
        <is>
          <t>Marketing &amp; Entertainment</t>
        </is>
      </c>
      <c r="C196" s="2" t="inlineStr">
        <is>
          <t>FY2024</t>
        </is>
      </c>
      <c r="D196" s="2" t="n">
        <v>161333.63</v>
      </c>
    </row>
    <row r="197">
      <c r="A197" s="2" t="inlineStr">
        <is>
          <t>9455-8236 QI</t>
        </is>
      </c>
      <c r="B197" s="2" t="inlineStr">
        <is>
          <t>Repairs &amp; Maintenance</t>
        </is>
      </c>
      <c r="C197" s="2" t="inlineStr">
        <is>
          <t>FY2024</t>
        </is>
      </c>
      <c r="D197" s="2" t="n">
        <v>214990.43</v>
      </c>
    </row>
    <row r="198">
      <c r="A198" s="2" t="inlineStr">
        <is>
          <t>9455-8236 QI</t>
        </is>
      </c>
      <c r="B198" s="2" t="inlineStr">
        <is>
          <t>Amortization</t>
        </is>
      </c>
      <c r="C198" s="2" t="inlineStr">
        <is>
          <t>FY2024</t>
        </is>
      </c>
      <c r="D198" s="2" t="n">
        <v>222195</v>
      </c>
    </row>
    <row r="199">
      <c r="A199" s="2" t="inlineStr">
        <is>
          <t>9455-8236 QI</t>
        </is>
      </c>
      <c r="B199" s="2" t="inlineStr">
        <is>
          <t>Income Tax</t>
        </is>
      </c>
      <c r="C199" s="2" t="inlineStr">
        <is>
          <t>FY2024</t>
        </is>
      </c>
      <c r="D199" s="2" t="n">
        <v>0</v>
      </c>
    </row>
    <row r="200">
      <c r="A200" s="2" t="inlineStr">
        <is>
          <t>9525-2854 QI</t>
        </is>
      </c>
      <c r="B200" s="2" t="inlineStr">
        <is>
          <t>Operating Revenue</t>
        </is>
      </c>
      <c r="C200" s="2" t="inlineStr">
        <is>
          <t>FY2024</t>
        </is>
      </c>
      <c r="D200" s="2" t="n">
        <v>0</v>
      </c>
    </row>
    <row r="201">
      <c r="A201" s="2" t="inlineStr">
        <is>
          <t>9525-2854 QI</t>
        </is>
      </c>
      <c r="B201" s="2" t="inlineStr">
        <is>
          <t>COGS</t>
        </is>
      </c>
      <c r="C201" s="2" t="inlineStr">
        <is>
          <t>FY2024</t>
        </is>
      </c>
      <c r="D201" s="2" t="n">
        <v>0</v>
      </c>
    </row>
    <row r="202">
      <c r="A202" s="2" t="inlineStr">
        <is>
          <t>9525-2854 QI</t>
        </is>
      </c>
      <c r="B202" s="2" t="inlineStr">
        <is>
          <t>Other Operating</t>
        </is>
      </c>
      <c r="C202" s="2" t="inlineStr">
        <is>
          <t>FY2024</t>
        </is>
      </c>
      <c r="D202" s="2" t="n">
        <v>0</v>
      </c>
    </row>
    <row r="203">
      <c r="A203" s="2" t="inlineStr">
        <is>
          <t>9525-2854 QI</t>
        </is>
      </c>
      <c r="B203" s="2" t="inlineStr">
        <is>
          <t>Payroll &amp; Benefits</t>
        </is>
      </c>
      <c r="C203" s="2" t="inlineStr">
        <is>
          <t>FY2024</t>
        </is>
      </c>
      <c r="D203" s="2" t="n">
        <v>0</v>
      </c>
    </row>
    <row r="204">
      <c r="A204" s="2" t="inlineStr">
        <is>
          <t>9525-2854 QI</t>
        </is>
      </c>
      <c r="B204" s="2" t="inlineStr">
        <is>
          <t>Administrative</t>
        </is>
      </c>
      <c r="C204" s="2" t="inlineStr">
        <is>
          <t>FY2024</t>
        </is>
      </c>
      <c r="D204" s="2" t="n">
        <v>0</v>
      </c>
    </row>
    <row r="205">
      <c r="A205" s="2" t="inlineStr">
        <is>
          <t>9525-2854 QI</t>
        </is>
      </c>
      <c r="B205" s="2" t="inlineStr">
        <is>
          <t>Occupancy</t>
        </is>
      </c>
      <c r="C205" s="2" t="inlineStr">
        <is>
          <t>FY2024</t>
        </is>
      </c>
      <c r="D205" s="2" t="n">
        <v>0</v>
      </c>
    </row>
    <row r="206">
      <c r="A206" s="2" t="inlineStr">
        <is>
          <t>9525-2854 QI</t>
        </is>
      </c>
      <c r="B206" s="2" t="inlineStr">
        <is>
          <t>Interest &amp; Financing</t>
        </is>
      </c>
      <c r="C206" s="2" t="inlineStr">
        <is>
          <t>FY2024</t>
        </is>
      </c>
      <c r="D206" s="2" t="n">
        <v>0</v>
      </c>
    </row>
    <row r="207">
      <c r="A207" s="2" t="inlineStr">
        <is>
          <t>9525-2854 QI</t>
        </is>
      </c>
      <c r="B207" s="2" t="inlineStr">
        <is>
          <t>Marketing &amp; Entertainment</t>
        </is>
      </c>
      <c r="C207" s="2" t="inlineStr">
        <is>
          <t>FY2024</t>
        </is>
      </c>
      <c r="D207" s="2" t="n">
        <v>0</v>
      </c>
    </row>
    <row r="208">
      <c r="A208" s="2" t="inlineStr">
        <is>
          <t>9525-2854 QI</t>
        </is>
      </c>
      <c r="B208" s="2" t="inlineStr">
        <is>
          <t>Repairs &amp; Maintenance</t>
        </is>
      </c>
      <c r="C208" s="2" t="inlineStr">
        <is>
          <t>FY2024</t>
        </is>
      </c>
      <c r="D208" s="2" t="n">
        <v>0</v>
      </c>
    </row>
    <row r="209">
      <c r="A209" s="2" t="inlineStr">
        <is>
          <t>9525-2854 QI</t>
        </is>
      </c>
      <c r="B209" s="2" t="inlineStr">
        <is>
          <t>Amortization</t>
        </is>
      </c>
      <c r="C209" s="2" t="inlineStr">
        <is>
          <t>FY2024</t>
        </is>
      </c>
      <c r="D209" s="2" t="n">
        <v>0</v>
      </c>
    </row>
    <row r="210">
      <c r="A210" s="2" t="inlineStr">
        <is>
          <t>9366-1049 QI</t>
        </is>
      </c>
      <c r="B210" s="2" t="inlineStr">
        <is>
          <t>Operating Revenue</t>
        </is>
      </c>
      <c r="C210" s="2" t="inlineStr">
        <is>
          <t>FY2024</t>
        </is>
      </c>
      <c r="D210" s="2" t="n">
        <v>-3945185.2</v>
      </c>
    </row>
    <row r="211">
      <c r="A211" s="2" t="inlineStr">
        <is>
          <t>9366-1049 QI</t>
        </is>
      </c>
      <c r="B211" s="2" t="inlineStr">
        <is>
          <t>Investment &amp; Other Income</t>
        </is>
      </c>
      <c r="C211" s="2" t="inlineStr">
        <is>
          <t>FY2024</t>
        </is>
      </c>
      <c r="D211" s="2" t="n">
        <v>-483.43</v>
      </c>
    </row>
    <row r="212">
      <c r="A212" s="2" t="inlineStr">
        <is>
          <t>9366-1049 QI</t>
        </is>
      </c>
      <c r="B212" s="2" t="inlineStr">
        <is>
          <t>Administrative</t>
        </is>
      </c>
      <c r="C212" s="2" t="inlineStr">
        <is>
          <t>FY2024</t>
        </is>
      </c>
      <c r="D212" s="2" t="n">
        <v>104164.1</v>
      </c>
    </row>
    <row r="213">
      <c r="A213" s="2" t="inlineStr">
        <is>
          <t>9366-1049 QI</t>
        </is>
      </c>
      <c r="B213" s="2" t="inlineStr">
        <is>
          <t>COGS</t>
        </is>
      </c>
      <c r="C213" s="2" t="inlineStr">
        <is>
          <t>FY2024</t>
        </is>
      </c>
      <c r="D213" s="2" t="n">
        <v>1322234.96</v>
      </c>
    </row>
    <row r="214">
      <c r="A214" s="2" t="inlineStr">
        <is>
          <t>9366-1049 QI</t>
        </is>
      </c>
      <c r="B214" s="2" t="inlineStr">
        <is>
          <t>Other Operating</t>
        </is>
      </c>
      <c r="C214" s="2" t="inlineStr">
        <is>
          <t>FY2024</t>
        </is>
      </c>
      <c r="D214" s="2" t="n">
        <v>66669.21000000001</v>
      </c>
    </row>
    <row r="215">
      <c r="A215" s="2" t="inlineStr">
        <is>
          <t>9366-1049 QI</t>
        </is>
      </c>
      <c r="B215" s="2" t="inlineStr">
        <is>
          <t>Payroll &amp; Benefits</t>
        </is>
      </c>
      <c r="C215" s="2" t="inlineStr">
        <is>
          <t>FY2024</t>
        </is>
      </c>
      <c r="D215" s="2" t="n">
        <v>1410408.29</v>
      </c>
    </row>
    <row r="216">
      <c r="A216" s="2" t="inlineStr">
        <is>
          <t>9366-1049 QI</t>
        </is>
      </c>
      <c r="B216" s="2" t="inlineStr">
        <is>
          <t>Occupancy</t>
        </is>
      </c>
      <c r="C216" s="2" t="inlineStr">
        <is>
          <t>FY2024</t>
        </is>
      </c>
      <c r="D216" s="2" t="n">
        <v>204074.66</v>
      </c>
    </row>
    <row r="217">
      <c r="A217" s="2" t="inlineStr">
        <is>
          <t>9366-1049 QI</t>
        </is>
      </c>
      <c r="B217" s="2" t="inlineStr">
        <is>
          <t>Interest &amp; Financing</t>
        </is>
      </c>
      <c r="C217" s="2" t="inlineStr">
        <is>
          <t>FY2024</t>
        </is>
      </c>
      <c r="D217" s="2" t="n">
        <v>102454.37</v>
      </c>
    </row>
    <row r="218">
      <c r="A218" s="2" t="inlineStr">
        <is>
          <t>9366-1049 QI</t>
        </is>
      </c>
      <c r="B218" s="2" t="inlineStr">
        <is>
          <t>Marketing &amp; Entertainment</t>
        </is>
      </c>
      <c r="C218" s="2" t="inlineStr">
        <is>
          <t>FY2024</t>
        </is>
      </c>
      <c r="D218" s="2" t="n">
        <v>74927.98</v>
      </c>
    </row>
    <row r="219">
      <c r="A219" s="2" t="inlineStr">
        <is>
          <t>9366-1049 QI</t>
        </is>
      </c>
      <c r="B219" s="2" t="inlineStr">
        <is>
          <t>Repairs &amp; Maintenance</t>
        </is>
      </c>
      <c r="C219" s="2" t="inlineStr">
        <is>
          <t>FY2024</t>
        </is>
      </c>
      <c r="D219" s="2" t="n">
        <v>162786.02</v>
      </c>
    </row>
    <row r="220">
      <c r="A220" s="2" t="inlineStr">
        <is>
          <t>9366-1049 QI</t>
        </is>
      </c>
      <c r="B220" s="2" t="inlineStr">
        <is>
          <t>Amortization</t>
        </is>
      </c>
      <c r="C220" s="2" t="inlineStr">
        <is>
          <t>FY2024</t>
        </is>
      </c>
      <c r="D220" s="2" t="n">
        <v>75441</v>
      </c>
    </row>
    <row r="221">
      <c r="A221" s="2" t="inlineStr">
        <is>
          <t>9366-1049 QI</t>
        </is>
      </c>
      <c r="B221" s="2" t="inlineStr">
        <is>
          <t>Income Tax</t>
        </is>
      </c>
      <c r="C221" s="2" t="inlineStr">
        <is>
          <t>FY2024</t>
        </is>
      </c>
      <c r="D221" s="2" t="n">
        <v>12250</v>
      </c>
    </row>
    <row r="222">
      <c r="A222" s="2" t="inlineStr">
        <is>
          <t>9098-0558 QI</t>
        </is>
      </c>
      <c r="B222" s="2" t="inlineStr">
        <is>
          <t>Operating Revenue</t>
        </is>
      </c>
      <c r="C222" s="2" t="inlineStr">
        <is>
          <t>FY2024</t>
        </is>
      </c>
      <c r="D222" s="2" t="n">
        <v>-1854065.71</v>
      </c>
    </row>
    <row r="223">
      <c r="A223" s="2" t="inlineStr">
        <is>
          <t>9098-0558 QI</t>
        </is>
      </c>
      <c r="B223" s="2" t="inlineStr">
        <is>
          <t>COGS</t>
        </is>
      </c>
      <c r="C223" s="2" t="inlineStr">
        <is>
          <t>FY2024</t>
        </is>
      </c>
      <c r="D223" s="2" t="n">
        <v>677167.58</v>
      </c>
    </row>
    <row r="224">
      <c r="A224" s="2" t="inlineStr">
        <is>
          <t>9098-0558 QI</t>
        </is>
      </c>
      <c r="B224" s="2" t="inlineStr">
        <is>
          <t>Occupancy</t>
        </is>
      </c>
      <c r="C224" s="2" t="inlineStr">
        <is>
          <t>FY2024</t>
        </is>
      </c>
      <c r="D224" s="2" t="n">
        <v>147788.1</v>
      </c>
    </row>
    <row r="225">
      <c r="A225" s="2" t="inlineStr">
        <is>
          <t>9098-0558 QI</t>
        </is>
      </c>
      <c r="B225" s="2" t="inlineStr">
        <is>
          <t>Administrative</t>
        </is>
      </c>
      <c r="C225" s="2" t="inlineStr">
        <is>
          <t>FY2024</t>
        </is>
      </c>
      <c r="D225" s="2" t="n">
        <v>59333.68</v>
      </c>
    </row>
    <row r="226">
      <c r="A226" s="2" t="inlineStr">
        <is>
          <t>9098-0558 QI</t>
        </is>
      </c>
      <c r="B226" s="2" t="inlineStr">
        <is>
          <t>Repairs &amp; Maintenance</t>
        </is>
      </c>
      <c r="C226" s="2" t="inlineStr">
        <is>
          <t>FY2024</t>
        </is>
      </c>
      <c r="D226" s="2" t="n">
        <v>68758.92</v>
      </c>
    </row>
    <row r="227">
      <c r="A227" s="2" t="inlineStr">
        <is>
          <t>9098-0558 QI</t>
        </is>
      </c>
      <c r="B227" s="2" t="inlineStr">
        <is>
          <t>Other Operating</t>
        </is>
      </c>
      <c r="C227" s="2" t="inlineStr">
        <is>
          <t>FY2024</t>
        </is>
      </c>
      <c r="D227" s="2" t="n">
        <v>90425.48</v>
      </c>
    </row>
    <row r="228">
      <c r="A228" s="2" t="inlineStr">
        <is>
          <t>9098-0558 QI</t>
        </is>
      </c>
      <c r="B228" s="2" t="inlineStr">
        <is>
          <t>Payroll &amp; Benefits</t>
        </is>
      </c>
      <c r="C228" s="2" t="inlineStr">
        <is>
          <t>FY2024</t>
        </is>
      </c>
      <c r="D228" s="2" t="n">
        <v>360373.72</v>
      </c>
    </row>
    <row r="229">
      <c r="A229" s="2" t="inlineStr">
        <is>
          <t>9098-0558 QI</t>
        </is>
      </c>
      <c r="B229" s="2" t="inlineStr">
        <is>
          <t>Management Fees (Interco)</t>
        </is>
      </c>
      <c r="C229" s="2" t="inlineStr">
        <is>
          <t>FY2024</t>
        </is>
      </c>
      <c r="D229" s="2" t="n">
        <v>0</v>
      </c>
    </row>
    <row r="230">
      <c r="A230" s="2" t="inlineStr">
        <is>
          <t>9098-0558 QI</t>
        </is>
      </c>
      <c r="B230" s="2" t="inlineStr">
        <is>
          <t>Interest &amp; Financing</t>
        </is>
      </c>
      <c r="C230" s="2" t="inlineStr">
        <is>
          <t>FY2024</t>
        </is>
      </c>
      <c r="D230" s="2" t="n">
        <v>30851.77</v>
      </c>
    </row>
    <row r="231">
      <c r="A231" s="2" t="inlineStr">
        <is>
          <t>9098-0558 QI</t>
        </is>
      </c>
      <c r="B231" s="2" t="inlineStr">
        <is>
          <t>Marketing &amp; Entertainment</t>
        </is>
      </c>
      <c r="C231" s="2" t="inlineStr">
        <is>
          <t>FY2024</t>
        </is>
      </c>
      <c r="D231" s="2" t="n">
        <v>371929.89</v>
      </c>
    </row>
    <row r="232">
      <c r="A232" s="2" t="inlineStr">
        <is>
          <t>9098-0558 QI</t>
        </is>
      </c>
      <c r="B232" s="2" t="inlineStr">
        <is>
          <t>Amortization</t>
        </is>
      </c>
      <c r="C232" s="2" t="inlineStr">
        <is>
          <t>FY2024</t>
        </is>
      </c>
      <c r="D232" s="2" t="n">
        <v>11293</v>
      </c>
    </row>
    <row r="233">
      <c r="A233" s="2" t="inlineStr">
        <is>
          <t>9098-0558 QI</t>
        </is>
      </c>
      <c r="B233" s="2" t="inlineStr">
        <is>
          <t>Income Tax</t>
        </is>
      </c>
      <c r="C233" s="2" t="inlineStr">
        <is>
          <t>FY2024</t>
        </is>
      </c>
      <c r="D233" s="2" t="n">
        <v>4426</v>
      </c>
    </row>
    <row r="234">
      <c r="A234" s="2" t="inlineStr">
        <is>
          <t>9504-7510 QI</t>
        </is>
      </c>
      <c r="B234" s="2" t="inlineStr">
        <is>
          <t>Operating Revenue</t>
        </is>
      </c>
      <c r="C234" s="2" t="inlineStr">
        <is>
          <t>FY2024</t>
        </is>
      </c>
      <c r="D234" s="2" t="n">
        <v>0</v>
      </c>
    </row>
    <row r="235">
      <c r="A235" s="2" t="inlineStr">
        <is>
          <t>9504-7510 QI</t>
        </is>
      </c>
      <c r="B235" s="2" t="inlineStr">
        <is>
          <t>Management Fees (Interco)</t>
        </is>
      </c>
      <c r="C235" s="2" t="inlineStr">
        <is>
          <t>FY2024</t>
        </is>
      </c>
      <c r="D235" s="2" t="n">
        <v>0</v>
      </c>
    </row>
    <row r="236">
      <c r="A236" s="2" t="inlineStr">
        <is>
          <t>9504-7510 QI</t>
        </is>
      </c>
      <c r="B236" s="2" t="inlineStr">
        <is>
          <t>COGS</t>
        </is>
      </c>
      <c r="C236" s="2" t="inlineStr">
        <is>
          <t>FY2024</t>
        </is>
      </c>
      <c r="D236" s="2" t="n">
        <v>0</v>
      </c>
    </row>
    <row r="237">
      <c r="A237" s="2" t="inlineStr">
        <is>
          <t>9504-7510 QI</t>
        </is>
      </c>
      <c r="B237" s="2" t="inlineStr">
        <is>
          <t>Other Operating</t>
        </is>
      </c>
      <c r="C237" s="2" t="inlineStr">
        <is>
          <t>FY2024</t>
        </is>
      </c>
      <c r="D237" s="2" t="n">
        <v>0</v>
      </c>
    </row>
    <row r="238">
      <c r="A238" s="2" t="inlineStr">
        <is>
          <t>9504-7510 QI</t>
        </is>
      </c>
      <c r="B238" s="2" t="inlineStr">
        <is>
          <t>Payroll &amp; Benefits</t>
        </is>
      </c>
      <c r="C238" s="2" t="inlineStr">
        <is>
          <t>FY2024</t>
        </is>
      </c>
      <c r="D238" s="2" t="n">
        <v>0</v>
      </c>
    </row>
    <row r="239">
      <c r="A239" s="2" t="inlineStr">
        <is>
          <t>9504-7510 QI</t>
        </is>
      </c>
      <c r="B239" s="2" t="inlineStr">
        <is>
          <t>Administrative</t>
        </is>
      </c>
      <c r="C239" s="2" t="inlineStr">
        <is>
          <t>FY2024</t>
        </is>
      </c>
      <c r="D239" s="2" t="n">
        <v>6971.72</v>
      </c>
    </row>
    <row r="240">
      <c r="A240" s="2" t="inlineStr">
        <is>
          <t>9504-7510 QI</t>
        </is>
      </c>
      <c r="B240" s="2" t="inlineStr">
        <is>
          <t>Occupancy</t>
        </is>
      </c>
      <c r="C240" s="2" t="inlineStr">
        <is>
          <t>FY2024</t>
        </is>
      </c>
      <c r="D240" s="2" t="n">
        <v>1030.5</v>
      </c>
    </row>
    <row r="241">
      <c r="A241" s="2" t="inlineStr">
        <is>
          <t>9504-7510 QI</t>
        </is>
      </c>
      <c r="B241" s="2" t="inlineStr">
        <is>
          <t>Interest &amp; Financing</t>
        </is>
      </c>
      <c r="C241" s="2" t="inlineStr">
        <is>
          <t>FY2024</t>
        </is>
      </c>
      <c r="D241" s="2" t="n">
        <v>47.32</v>
      </c>
    </row>
    <row r="242">
      <c r="A242" s="2" t="inlineStr">
        <is>
          <t>9504-7510 QI</t>
        </is>
      </c>
      <c r="B242" s="2" t="inlineStr">
        <is>
          <t>Marketing &amp; Entertainment</t>
        </is>
      </c>
      <c r="C242" s="2" t="inlineStr">
        <is>
          <t>FY2024</t>
        </is>
      </c>
      <c r="D242" s="2" t="n">
        <v>0</v>
      </c>
    </row>
    <row r="243">
      <c r="A243" s="2" t="inlineStr">
        <is>
          <t>9504-7510 QI</t>
        </is>
      </c>
      <c r="B243" s="2" t="inlineStr">
        <is>
          <t>Repairs &amp; Maintenance</t>
        </is>
      </c>
      <c r="C243" s="2" t="inlineStr">
        <is>
          <t>FY2024</t>
        </is>
      </c>
      <c r="D243" s="2" t="n">
        <v>0</v>
      </c>
    </row>
    <row r="244">
      <c r="A244" s="2" t="inlineStr">
        <is>
          <t>9504-7510 QI</t>
        </is>
      </c>
      <c r="B244" s="2" t="inlineStr">
        <is>
          <t>Amortization</t>
        </is>
      </c>
      <c r="C244" s="2" t="inlineStr">
        <is>
          <t>FY2024</t>
        </is>
      </c>
      <c r="D244" s="2" t="n">
        <v>0</v>
      </c>
    </row>
    <row r="245">
      <c r="A245" s="2" t="inlineStr">
        <is>
          <t>2749-8567 QI</t>
        </is>
      </c>
      <c r="B245" s="2" t="inlineStr">
        <is>
          <t>Other Operating</t>
        </is>
      </c>
      <c r="C245" s="2" t="inlineStr">
        <is>
          <t>FY2024</t>
        </is>
      </c>
      <c r="D245" s="2" t="n">
        <v>-90757.8</v>
      </c>
    </row>
    <row r="246">
      <c r="A246" s="2" t="inlineStr">
        <is>
          <t>2749-8567 QI</t>
        </is>
      </c>
      <c r="B246" s="2" t="inlineStr">
        <is>
          <t>Administrative</t>
        </is>
      </c>
      <c r="C246" s="2" t="inlineStr">
        <is>
          <t>FY2024</t>
        </is>
      </c>
      <c r="D246" s="2" t="n">
        <v>12837.77</v>
      </c>
    </row>
    <row r="247">
      <c r="A247" s="2" t="inlineStr">
        <is>
          <t>2749-8567 QI</t>
        </is>
      </c>
      <c r="B247" s="2" t="inlineStr">
        <is>
          <t>Management Fees (Interco)</t>
        </is>
      </c>
      <c r="C247" s="2" t="inlineStr">
        <is>
          <t>FY2024</t>
        </is>
      </c>
      <c r="D247" s="2" t="n">
        <v>25000</v>
      </c>
    </row>
    <row r="248">
      <c r="A248" s="2" t="inlineStr">
        <is>
          <t>2749-8567 QI</t>
        </is>
      </c>
      <c r="B248" s="2" t="inlineStr">
        <is>
          <t>Interest &amp; Financing</t>
        </is>
      </c>
      <c r="C248" s="2" t="inlineStr">
        <is>
          <t>FY2024</t>
        </is>
      </c>
      <c r="D248" s="2" t="n">
        <v>153.5</v>
      </c>
    </row>
    <row r="249">
      <c r="A249" s="2" t="inlineStr">
        <is>
          <t>2749-8567 QI</t>
        </is>
      </c>
      <c r="B249" s="2" t="inlineStr">
        <is>
          <t>Repairs &amp; Maintenance</t>
        </is>
      </c>
      <c r="C249" s="2" t="inlineStr">
        <is>
          <t>FY2024</t>
        </is>
      </c>
      <c r="D249" s="2" t="n">
        <v>4960.18</v>
      </c>
    </row>
    <row r="250">
      <c r="A250" s="2" t="inlineStr">
        <is>
          <t>2749-8567 QI</t>
        </is>
      </c>
      <c r="B250" s="2" t="inlineStr">
        <is>
          <t>Amortization</t>
        </is>
      </c>
      <c r="C250" s="2" t="inlineStr">
        <is>
          <t>FY2024</t>
        </is>
      </c>
      <c r="D250" s="2" t="n">
        <v>22645</v>
      </c>
    </row>
    <row r="251">
      <c r="A251" s="2" t="inlineStr">
        <is>
          <t>2749-8567 QI</t>
        </is>
      </c>
      <c r="B251" s="2" t="inlineStr">
        <is>
          <t>Income Tax</t>
        </is>
      </c>
      <c r="C251" s="2" t="inlineStr">
        <is>
          <t>FY2024</t>
        </is>
      </c>
      <c r="D251" s="2" t="n">
        <v>3126</v>
      </c>
    </row>
    <row r="252">
      <c r="A252" s="2" t="inlineStr">
        <is>
          <t>N/A</t>
        </is>
      </c>
      <c r="B252" s="2" t="inlineStr">
        <is>
          <t>Operating Revenue</t>
        </is>
      </c>
      <c r="C252" s="2" t="inlineStr">
        <is>
          <t>FY2024</t>
        </is>
      </c>
      <c r="D252" s="2" t="n">
        <v>-72001</v>
      </c>
    </row>
    <row r="253">
      <c r="A253" s="2" t="inlineStr">
        <is>
          <t>N/A</t>
        </is>
      </c>
      <c r="B253" s="2" t="inlineStr">
        <is>
          <t>Administrative</t>
        </is>
      </c>
      <c r="C253" s="2" t="inlineStr">
        <is>
          <t>FY2024</t>
        </is>
      </c>
      <c r="D253" s="2" t="n">
        <v>71544.69</v>
      </c>
    </row>
    <row r="254">
      <c r="A254" s="2" t="inlineStr">
        <is>
          <t>N/A</t>
        </is>
      </c>
      <c r="B254" s="2" t="inlineStr">
        <is>
          <t>Interest &amp; Financing</t>
        </is>
      </c>
      <c r="C254" s="2" t="inlineStr">
        <is>
          <t>FY2024</t>
        </is>
      </c>
      <c r="D254" s="2" t="n">
        <v>340.62</v>
      </c>
    </row>
    <row r="255">
      <c r="A255" s="2" t="inlineStr">
        <is>
          <t>N/A</t>
        </is>
      </c>
      <c r="B255" s="2" t="inlineStr">
        <is>
          <t>Amortization</t>
        </is>
      </c>
      <c r="C255" s="2" t="inlineStr">
        <is>
          <t>FY2024</t>
        </is>
      </c>
      <c r="D255" s="2" t="n">
        <v>11257</v>
      </c>
    </row>
    <row r="256">
      <c r="A256" s="2" t="inlineStr">
        <is>
          <t>N/A</t>
        </is>
      </c>
      <c r="B256" s="2" t="inlineStr">
        <is>
          <t>Interest &amp; Financing</t>
        </is>
      </c>
      <c r="C256" s="2" t="inlineStr">
        <is>
          <t>FY2024</t>
        </is>
      </c>
      <c r="D256" s="2" t="n">
        <v>10</v>
      </c>
    </row>
    <row r="257">
      <c r="A257" s="2" t="inlineStr">
        <is>
          <t>N/A</t>
        </is>
      </c>
      <c r="B257" s="2" t="inlineStr">
        <is>
          <t>Interest &amp; Financing</t>
        </is>
      </c>
      <c r="C257" s="2" t="inlineStr">
        <is>
          <t>FY2024</t>
        </is>
      </c>
      <c r="D257" s="2" t="n">
        <v>4.01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</cols>
  <sheetData>
    <row r="1">
      <c r="A1" s="1" t="inlineStr">
        <is>
          <t>EntityId</t>
        </is>
      </c>
      <c r="B1" s="1" t="inlineStr">
        <is>
          <t>EntityName</t>
        </is>
      </c>
      <c r="C1" s="1" t="inlineStr">
        <is>
          <t>Segment</t>
        </is>
      </c>
    </row>
    <row r="2">
      <c r="A2" s="2" t="inlineStr">
        <is>
          <t>9357-7427 QI</t>
        </is>
      </c>
      <c r="B2" s="2" t="inlineStr">
        <is>
          <t>9357-7427 Québec Inc.</t>
        </is>
      </c>
      <c r="C2" s="2" t="inlineStr">
        <is>
          <t>HoldCo</t>
        </is>
      </c>
    </row>
    <row r="3">
      <c r="A3" s="2" t="inlineStr">
        <is>
          <t>9366-1676 QI</t>
        </is>
      </c>
      <c r="B3" s="2" t="inlineStr">
        <is>
          <t>9366-1676 Québec Inc.</t>
        </is>
      </c>
      <c r="C3" s="2" t="inlineStr">
        <is>
          <t>HoldCo</t>
        </is>
      </c>
    </row>
    <row r="4">
      <c r="A4" s="2" t="inlineStr">
        <is>
          <t>9425-4547 QI</t>
        </is>
      </c>
      <c r="B4" s="2" t="inlineStr">
        <is>
          <t>9425-4547 Québec Inc.</t>
        </is>
      </c>
      <c r="C4" s="2" t="inlineStr">
        <is>
          <t>HoldCo</t>
        </is>
      </c>
    </row>
    <row r="5">
      <c r="A5" s="2" t="inlineStr">
        <is>
          <t>9455-4177 QI</t>
        </is>
      </c>
      <c r="B5" s="2" t="inlineStr">
        <is>
          <t>9455-4177 Québec Inc.</t>
        </is>
      </c>
      <c r="C5" s="2" t="inlineStr">
        <is>
          <t>HoldCo</t>
        </is>
      </c>
    </row>
    <row r="6">
      <c r="A6" s="2" t="inlineStr">
        <is>
          <t>9455-4169 QI</t>
        </is>
      </c>
      <c r="B6" s="2" t="inlineStr">
        <is>
          <t>9455-4169 Québec Inc</t>
        </is>
      </c>
      <c r="C6" s="2" t="inlineStr">
        <is>
          <t>HoldCo</t>
        </is>
      </c>
    </row>
    <row r="7">
      <c r="A7" s="2" t="inlineStr">
        <is>
          <t>9455-4201 QI</t>
        </is>
      </c>
      <c r="B7" s="2" t="inlineStr">
        <is>
          <t>9455-4201 Québec inc.</t>
        </is>
      </c>
      <c r="C7" s="2" t="inlineStr">
        <is>
          <t>HoldCo</t>
        </is>
      </c>
    </row>
    <row r="8">
      <c r="A8" s="2" t="inlineStr">
        <is>
          <t>9108-6876 QI</t>
        </is>
      </c>
      <c r="B8" s="2" t="inlineStr">
        <is>
          <t>9108-6876 Québec Inc.</t>
        </is>
      </c>
      <c r="C8" s="2" t="inlineStr">
        <is>
          <t>Hospitality OpCo</t>
        </is>
      </c>
    </row>
    <row r="9">
      <c r="A9" s="2" t="inlineStr">
        <is>
          <t>N/A</t>
        </is>
      </c>
      <c r="B9" s="2" t="inlineStr">
        <is>
          <t>Bistro Guru Inc.</t>
        </is>
      </c>
      <c r="C9" s="2" t="inlineStr">
        <is>
          <t>Restaurant OpCo</t>
        </is>
      </c>
    </row>
    <row r="10">
      <c r="A10" s="2" t="inlineStr">
        <is>
          <t>9096-0436 QI</t>
        </is>
      </c>
      <c r="B10" s="2" t="inlineStr">
        <is>
          <t>9096-0436 Québec Inc.</t>
        </is>
      </c>
      <c r="C10" s="2" t="inlineStr">
        <is>
          <t>Restaurant OpCo</t>
        </is>
      </c>
    </row>
    <row r="11">
      <c r="A11" s="2" t="inlineStr">
        <is>
          <t>9455-8236 QI</t>
        </is>
      </c>
      <c r="B11" s="2" t="inlineStr">
        <is>
          <t>9455-8236 Québec Inc.</t>
        </is>
      </c>
      <c r="C11" s="2" t="inlineStr">
        <is>
          <t>Restaurant OpCo</t>
        </is>
      </c>
    </row>
    <row r="12">
      <c r="A12" s="2" t="inlineStr">
        <is>
          <t>9525-2854 QI</t>
        </is>
      </c>
      <c r="B12" s="2" t="inlineStr">
        <is>
          <t>9525-2854 Québec Inc.</t>
        </is>
      </c>
      <c r="C12" s="2" t="inlineStr">
        <is>
          <t>Restaurant OpCo</t>
        </is>
      </c>
    </row>
    <row r="13">
      <c r="A13" s="2" t="inlineStr">
        <is>
          <t>9366-1049 QI</t>
        </is>
      </c>
      <c r="B13" s="2" t="inlineStr">
        <is>
          <t>9366-1049 Québec Inc.</t>
        </is>
      </c>
      <c r="C13" s="2" t="inlineStr">
        <is>
          <t>Restaurant OpCo</t>
        </is>
      </c>
    </row>
    <row r="14">
      <c r="A14" s="2" t="inlineStr">
        <is>
          <t>9098-0558 QI</t>
        </is>
      </c>
      <c r="B14" s="2" t="inlineStr">
        <is>
          <t>9098-0558 Québec Inc.</t>
        </is>
      </c>
      <c r="C14" s="2" t="inlineStr">
        <is>
          <t>Restaurant OpCo</t>
        </is>
      </c>
    </row>
    <row r="15">
      <c r="A15" s="2" t="inlineStr">
        <is>
          <t>9504-7510 QI</t>
        </is>
      </c>
      <c r="B15" s="2" t="inlineStr">
        <is>
          <t>9504-7510 Québec Inc.</t>
        </is>
      </c>
      <c r="C15" s="2" t="inlineStr">
        <is>
          <t>Restaurant OpCo</t>
        </is>
      </c>
    </row>
    <row r="16">
      <c r="A16" s="2" t="inlineStr">
        <is>
          <t>2749-8567 QI</t>
        </is>
      </c>
      <c r="B16" s="2" t="inlineStr">
        <is>
          <t>2749-8567 Québec Inc.</t>
        </is>
      </c>
      <c r="C16" s="2" t="inlineStr">
        <is>
          <t>RealCo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FiscalYear</t>
        </is>
      </c>
      <c r="B1" s="1" t="inlineStr">
        <is>
          <t>YearEnd</t>
        </is>
      </c>
      <c r="C1" s="1" t="inlineStr">
        <is>
          <t>YearLabel</t>
        </is>
      </c>
    </row>
    <row r="2">
      <c r="A2" s="2" t="inlineStr">
        <is>
          <t>FY2024</t>
        </is>
      </c>
      <c r="B2" s="2" t="inlineStr">
        <is>
          <t>2024-03-31</t>
        </is>
      </c>
      <c r="C2" s="2" t="inlineStr">
        <is>
          <t>FY2024</t>
        </is>
      </c>
    </row>
    <row r="3">
      <c r="A3" s="2" t="inlineStr">
        <is>
          <t>FY2025</t>
        </is>
      </c>
      <c r="B3" s="2" t="inlineStr">
        <is>
          <t>2025-03-31</t>
        </is>
      </c>
      <c r="C3" s="2" t="inlineStr">
        <is>
          <t>FY2025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Measure Name</t>
        </is>
      </c>
      <c r="B1" s="1" t="inlineStr">
        <is>
          <t>DAX Formula</t>
        </is>
      </c>
    </row>
    <row r="2">
      <c r="A2" s="6" t="inlineStr">
        <is>
          <t>Revenue</t>
        </is>
      </c>
      <c r="B2" s="7">
        <f>CALCULATE(SUM(Fact_TrialBalance[Amount]), Fact_TrialBalance[Category]="Operating Revenue") * -1</f>
        <v/>
      </c>
    </row>
    <row r="3">
      <c r="A3" s="6" t="inlineStr">
        <is>
          <t>Investment Income</t>
        </is>
      </c>
      <c r="B3" s="7">
        <f>CALCULATE(SUM(Fact_TrialBalance[Amount]), Fact_TrialBalance[Category]="Investment &amp; Other Income") * -1</f>
        <v/>
      </c>
    </row>
    <row r="4">
      <c r="A4" s="6" t="inlineStr">
        <is>
          <t>EBITDA</t>
        </is>
      </c>
      <c r="B4" s="7">
        <f>CALCULATE(SUM(Fact_TrialBalance[Amount]), NOT Fact_TrialBalance[Category] IN {"Interest &amp; Financing", "Amortization", "Income Tax"}) * -1</f>
        <v/>
      </c>
    </row>
    <row r="5">
      <c r="A5" s="6" t="inlineStr">
        <is>
          <t>EBITDA Margin</t>
        </is>
      </c>
      <c r="B5" s="7">
        <f>DIVIDE([EBITDA], [Revenue])</f>
        <v/>
      </c>
    </row>
    <row r="6">
      <c r="A6" s="6" t="inlineStr">
        <is>
          <t>Net Income</t>
        </is>
      </c>
      <c r="B6" s="7">
        <f>CALCULATE(SUM(Fact_TrialBalance[Amount])) * -1</f>
        <v/>
      </c>
    </row>
    <row r="7">
      <c r="A7" s="6" t="inlineStr">
        <is>
          <t>Income Tax</t>
        </is>
      </c>
      <c r="B7" s="7">
        <f>CALCULATE(SUM(Fact_TrialBalance[Amount]), Fact_TrialBalance[Category]="Income Tax")</f>
        <v/>
      </c>
    </row>
    <row r="8">
      <c r="A8" s="6" t="inlineStr">
        <is>
          <t>Effective Tax Rate</t>
        </is>
      </c>
      <c r="B8" s="7">
        <f>DIVIDE([Income Tax], [Net Income] + [Income Tax])</f>
        <v/>
      </c>
    </row>
    <row r="9">
      <c r="A9" s="6" t="inlineStr">
        <is>
          <t>COGS</t>
        </is>
      </c>
      <c r="B9" s="7">
        <f>CALCULATE(SUM(Fact_TrialBalance[Amount]), Fact_TrialBalance[Category]="COGS") * -1</f>
        <v/>
      </c>
    </row>
    <row r="10">
      <c r="A10" s="6" t="inlineStr">
        <is>
          <t>Payroll</t>
        </is>
      </c>
      <c r="B10" s="7">
        <f>CALCULATE(SUM(Fact_TrialBalance[Amount]), Fact_TrialBalance[Category]="Payroll &amp; Benefits") * -1</f>
        <v/>
      </c>
    </row>
    <row r="11">
      <c r="A11" s="6" t="inlineStr">
        <is>
          <t>Occupancy</t>
        </is>
      </c>
      <c r="B11" s="7">
        <f>CALCULATE(SUM(Fact_TrialBalance[Amount]), Fact_TrialBalance[Category]="Occupancy") * -1</f>
        <v/>
      </c>
    </row>
    <row r="12">
      <c r="A12" s="6" t="inlineStr">
        <is>
          <t>Marketing</t>
        </is>
      </c>
      <c r="B12" s="7">
        <f>CALCULATE(SUM(Fact_TrialBalance[Amount]), Fact_TrialBalance[Category]="Marketing &amp; Entertainment") * -1</f>
        <v/>
      </c>
    </row>
    <row r="13">
      <c r="A13" s="6" t="inlineStr">
        <is>
          <t>Administrative</t>
        </is>
      </c>
      <c r="B13" s="7">
        <f>CALCULATE(SUM(Fact_TrialBalance[Amount]), Fact_TrialBalance[Category]="Administrative") * -1</f>
        <v/>
      </c>
    </row>
    <row r="14">
      <c r="A14" s="6" t="inlineStr">
        <is>
          <t>Repairs</t>
        </is>
      </c>
      <c r="B14" s="7">
        <f>CALCULATE(SUM(Fact_TrialBalance[Amount]), Fact_TrialBalance[Category]="Repairs &amp; Maintenance") * -1</f>
        <v/>
      </c>
    </row>
    <row r="15">
      <c r="A15" s="6" t="inlineStr">
        <is>
          <t>Amortization</t>
        </is>
      </c>
      <c r="B15" s="7">
        <f>CALCULATE(SUM(Fact_TrialBalance[Amount]), Fact_TrialBalance[Category]="Amortization") * -1</f>
        <v/>
      </c>
    </row>
    <row r="16">
      <c r="A16" s="6" t="inlineStr">
        <is>
          <t>Interest Financing</t>
        </is>
      </c>
      <c r="B16" s="7">
        <f>CALCULATE(SUM(Fact_TrialBalance[Amount]), Fact_TrialBalance[Category]="Interest &amp; Financing") * -1</f>
        <v/>
      </c>
    </row>
    <row r="17">
      <c r="A17" s="6" t="inlineStr">
        <is>
          <t>Management Fees</t>
        </is>
      </c>
      <c r="B17" s="7">
        <f>CALCULATE(SUM(Fact_TrialBalance[Amount]), Fact_TrialBalance[Category]="Management Fees (Interco)") * -1</f>
        <v/>
      </c>
    </row>
    <row r="18">
      <c r="A18" s="6" t="inlineStr">
        <is>
          <t>Other Operating</t>
        </is>
      </c>
      <c r="B18" s="7">
        <f>CALCULATE(SUM(Fact_TrialBalance[Amount]), Fact_TrialBalance[Category]="Other Operating") * 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2026-09-16T13:07:46Z</dcterms:created>
  <dcterms:modified xmlns:dcterms="http://purl.org/dc/terms/" xmlns:xsi="http://www.w3.org/2001/XMLSchema-instance" xsi:type="dcterms:W3CDTF">2026-09-16T13:08:10Z</dcterms:modified>
</cp:coreProperties>
</file>